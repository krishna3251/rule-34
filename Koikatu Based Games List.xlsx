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 sheetId="1" r:id="rId5"/>
    <sheet state="visible" name="Information" sheetId="2" r:id="rId6"/>
    <sheet state="hidden" name="Private" sheetId="3" r:id="rId7"/>
  </sheets>
  <definedNames>
    <definedName hidden="1" localSheetId="0" name="Z_2078C935_3997_4E90_A7F0_FBC6228C0DAF_.wvu.FilterData">Games!$B$1:$J$702</definedName>
  </definedNames>
  <calcPr/>
  <customWorkbookViews>
    <customWorkbookView activeSheetId="0" maximized="1" windowHeight="0" windowWidth="0" guid="{2078C935-3997-4E90-A7F0-FBC6228C0DA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Date of the last update.
YYYY-MM-DD</t>
      </text>
    </comment>
    <comment authorId="0" ref="C1">
      <text>
        <t xml:space="preserve">Name [Version] [Developer]</t>
      </text>
    </comment>
    <comment authorId="0" ref="F1">
      <text>
        <t xml:space="preserve">Visual Novel, Sandbox, RPG, etc.
The game will be listed as "Sandbox" only if the tag is used in the OP.</t>
      </text>
    </comment>
    <comment authorId="0" ref="G1">
      <text>
        <t xml:space="preserve">If the game was done using Koikatsu, COM3D2, traced images over any of those, or something else.</t>
      </text>
    </comment>
    <comment authorId="0" ref="H1">
      <text>
        <t xml:space="preserve">The status may be outdated.</t>
      </text>
    </comment>
  </commentList>
</comments>
</file>

<file path=xl/sharedStrings.xml><?xml version="1.0" encoding="utf-8"?>
<sst xmlns="http://schemas.openxmlformats.org/spreadsheetml/2006/main" count="4504" uniqueCount="916">
  <si>
    <t>Date</t>
  </si>
  <si>
    <t>Promedio patreons ciego</t>
  </si>
  <si>
    <t>Name</t>
  </si>
  <si>
    <t>Green color: It means that it's the game's release and still has no updates at the moment of updating the doc.</t>
  </si>
  <si>
    <t>Promedio dinero ciego</t>
  </si>
  <si>
    <t>Max patreons</t>
  </si>
  <si>
    <t>Link</t>
  </si>
  <si>
    <t>Engine</t>
  </si>
  <si>
    <t>Max dinero</t>
  </si>
  <si>
    <t>Grey/No color: The last time the game was updated at the momento of updating the doc, The date will be changed only once per month.</t>
  </si>
  <si>
    <t>Type</t>
  </si>
  <si>
    <t>Visuals</t>
  </si>
  <si>
    <t>Status</t>
  </si>
  <si>
    <t>Main Tags</t>
  </si>
  <si>
    <t>Pat</t>
  </si>
  <si>
    <t>Note: Some games were released as Complete games. Those games's date aren't in green color.</t>
  </si>
  <si>
    <t>Cant patreon entre 1-50</t>
  </si>
  <si>
    <t>Mon</t>
  </si>
  <si>
    <t>Info</t>
  </si>
  <si>
    <t>Cant dinero entre 1-50</t>
  </si>
  <si>
    <t>Complex Society [v1.00.1b] [AbrokenA Productions]</t>
  </si>
  <si>
    <t>Here</t>
  </si>
  <si>
    <t>Cant patreon entre 51-100</t>
  </si>
  <si>
    <t>The name is a copy-paste of however the game was titled at the moment. The version number might be outdated but the Date should be always the right one.</t>
  </si>
  <si>
    <t>Cant dinero entre 50-100</t>
  </si>
  <si>
    <t>Cant patreon entre 101-150</t>
  </si>
  <si>
    <t>Visual Novel: Game with VN format. It can be kinetic or not, it can be more or less linear, it can have minigames or not, but it doesn't use the classic "Sandbox" map.</t>
  </si>
  <si>
    <t>Cant dinero entre 101-200</t>
  </si>
  <si>
    <t>Sandbox: Game which features a map where the player can go to different places and interact with different things.</t>
  </si>
  <si>
    <t>Cant patreon entre 151-200</t>
  </si>
  <si>
    <t>Ren'Py</t>
  </si>
  <si>
    <t>Sandbox</t>
  </si>
  <si>
    <t>Koikatsu</t>
  </si>
  <si>
    <t>RPG: Game with a RPG style but without TBC as one of its gameplay mechanics.</t>
  </si>
  <si>
    <t>Cant dinero entre 201-300</t>
  </si>
  <si>
    <t>Completed</t>
  </si>
  <si>
    <t>Harem, Big Tits, Male Protagonist, Milf, Incest</t>
  </si>
  <si>
    <t>Cant patreon entre 201-250</t>
  </si>
  <si>
    <t>TBC: Games with a Turn Based Combat system as one of its gameple mechanics.</t>
  </si>
  <si>
    <t>Waifu Slut School [v0.3.1] [mikiraus]</t>
  </si>
  <si>
    <t>Cant dinero entre 301-400</t>
  </si>
  <si>
    <t>Cant patreon entre 251-300</t>
  </si>
  <si>
    <t>Management: Game which focuses on the management of resources in order to progress the game.</t>
  </si>
  <si>
    <t>Cant dinero entre 401-500</t>
  </si>
  <si>
    <t>Active</t>
  </si>
  <si>
    <t>Animated, Male Protagonist, Vaginal Sex, Groping, Big Tits</t>
  </si>
  <si>
    <t>Alternative Universe [Demo] [EchoWix Games]</t>
  </si>
  <si>
    <t>Simulator: Games designed to closely simulate real world activities. It can be used for fantasy activities as well as long as it tries to present a "realistic look" of said activity.</t>
  </si>
  <si>
    <t>Cant patreon entre 301-400</t>
  </si>
  <si>
    <t>Collection: A collection of games in one thread which may or may not fit into various of the already mentioned categories.</t>
  </si>
  <si>
    <t>Cant dinero entre 501-750</t>
  </si>
  <si>
    <t>----: Games who's type couldn't be defined.</t>
  </si>
  <si>
    <t>Abandoned</t>
  </si>
  <si>
    <t>Multiple Protagonist, Harem, Point &amp; Click, Puzzle, POV</t>
  </si>
  <si>
    <t>Cant patreon entre 401-500</t>
  </si>
  <si>
    <t>x</t>
  </si>
  <si>
    <t>Greener Pastures [v0.13.5] [arcaos]</t>
  </si>
  <si>
    <t>Note: Game's type are associated, but not limited, to engines. It's normal to find a Ren'Py VN and RPGM TBC, but it's also possible to find Ren'Py TBC and RPGM VN.</t>
  </si>
  <si>
    <t>Cant dinero entre 751-1000</t>
  </si>
  <si>
    <t>Monster Girl, Pregnancy, Male Domination, Group Sex, Harem</t>
  </si>
  <si>
    <t>Peerless Lust [v0.29 Public] [Darx24]</t>
  </si>
  <si>
    <t>Cant patreon entre 501-750</t>
  </si>
  <si>
    <t>Koikatsu: Games done using the Koikatsu, as simple as that.</t>
  </si>
  <si>
    <t>Cant dinero entre 1001-2000</t>
  </si>
  <si>
    <t>Harem, Animated, Group Sex, Lesbian, Milf</t>
  </si>
  <si>
    <t>Harem Impact [v0.2] [RayAsher]</t>
  </si>
  <si>
    <t>COM3D2: Games done with Custom Order Maid 3D2.</t>
  </si>
  <si>
    <t>Cant patreon entre 751-1000</t>
  </si>
  <si>
    <t>Cant dinero entre 2001-3000</t>
  </si>
  <si>
    <t>Others: Games done with other games/softwares but still too irrelevant to have its own tag. Some examples right now are VROID, HM, 3DCG.</t>
  </si>
  <si>
    <t>Animated, Male Protagonist, Romance, Adventure, Harem</t>
  </si>
  <si>
    <t>Afterlife Harem [v0.3.9 Public] [Aph]</t>
  </si>
  <si>
    <t>Cant patreon entre 1001-1500</t>
  </si>
  <si>
    <t>Undefined: Games done with an unidentified game/software or original software.</t>
  </si>
  <si>
    <t>Cant dinero entre 3001-5000</t>
  </si>
  <si>
    <t>Dating Sim, Harem, RGP, Superpowers, Vaginal sex</t>
  </si>
  <si>
    <t>D</t>
  </si>
  <si>
    <t>My Hero Rising [v0.67] [Daraus]</t>
  </si>
  <si>
    <t>Traced: Games dones with any of the already mentioned categories but the developers draws or "traces" on the CGs to imprint a more 2D/original style on the final product.</t>
  </si>
  <si>
    <t>Cant patreon entre 1501-2000</t>
  </si>
  <si>
    <t>Cant dinero entre 5001-7000</t>
  </si>
  <si>
    <t>AI: Games done with AI but the developer uses Koikatu/COM32D CGs to feed the AI</t>
  </si>
  <si>
    <t>Cant patreon 2001 o mas</t>
  </si>
  <si>
    <t>Harem, Animated, Dating Sim, Parody, Corruption</t>
  </si>
  <si>
    <t>Love at First Tail [v0.4.3.1] [MrDracosaurus]</t>
  </si>
  <si>
    <t>Cant dinero 7001 o mas</t>
  </si>
  <si>
    <t>The status it's the same of F95's thread at the moment of the last time I updated the game in the list, unless I have the word of the dev stating something different.</t>
  </si>
  <si>
    <t>3DCG, Romance, Furry, Monster Girl, Multiple endings</t>
  </si>
  <si>
    <t>Euros</t>
  </si>
  <si>
    <t>Falling Stars [v0.7.2.] [nyatd]</t>
  </si>
  <si>
    <t>Humor, Harem, Romance, Group Sex, Male Protagonist</t>
  </si>
  <si>
    <t>Black Rabbit Trainer [v0.4.0] [Jellyfluff Games]</t>
  </si>
  <si>
    <t>I asked almost all devs on the list to describe their games using only 5 tags, not all of them replied. Other games are tagged thanks to "hardcore fans" in each game's thread who replied my question. Other games are tagged by me after playing them.</t>
  </si>
  <si>
    <t>Corrupted Kingdoms [v0.20.3] [ArcGames]</t>
  </si>
  <si>
    <t>Filters</t>
  </si>
  <si>
    <t>For a simple A-Z or Z-A order you can use the box next to the column's letter. If you want to filter things by categories, click the Filter icon next to the Printer in the up_left corner and check/uncheck the categories. If you want to undo any filters/order, click on the X in the up_right corner.</t>
  </si>
  <si>
    <t>Harem, Corruption, Fantasy, Mind Control, Monster Girl</t>
  </si>
  <si>
    <t>Reboot Love Part 2 [v2.6.7] [Reboot Love]</t>
  </si>
  <si>
    <t>General Note</t>
  </si>
  <si>
    <t>The unfiltered order is the one in the main F95 thread at the moment of making this Google Sheet. Games released after that will go to the botton of the list.</t>
  </si>
  <si>
    <t>Pregnancy, Harem, Animated, Male protagonist, Superpowers</t>
  </si>
  <si>
    <t>Adventurer Trainer [v0.1.7] [PastryIRL]</t>
  </si>
  <si>
    <t>Submit your tags</t>
  </si>
  <si>
    <t>If you are a developer and I haven't contacted you yet, please DM Adabelitoo in F95zone</t>
  </si>
  <si>
    <t>RPG, Fantasy, Humor, Harem, Parody</t>
  </si>
  <si>
    <t>Demons of the Hearth [v0.7.51] [Konvel]</t>
  </si>
  <si>
    <t>Last Date and Status check: 2023-01-10</t>
  </si>
  <si>
    <t>Last Total Status check: 2023-05-04</t>
  </si>
  <si>
    <t>Harem, Fantasy, Graphic Violence, Dating Sim, Superpowers</t>
  </si>
  <si>
    <t>Scarlet Law [v0.3.13] [JYP Games]</t>
  </si>
  <si>
    <t>Fantasy Opposite [v0.4.1] [ThirtySevenGaming]</t>
  </si>
  <si>
    <t>Furry, Shota, Milf, Futa/Trans, Incest</t>
  </si>
  <si>
    <t>Lust Age [v0.17.0] [Keisi]</t>
  </si>
  <si>
    <t>Harem, Male Protagonist, Teasing, RPG, Humor</t>
  </si>
  <si>
    <t>I'm a Pimp in Another World [v0.3] [Arinasa]</t>
  </si>
  <si>
    <t>Harem Residence [v0.111] [Vendena]</t>
  </si>
  <si>
    <t>Genex Love [v0.3.5b] [Reboot Love]</t>
  </si>
  <si>
    <t>Visual Novel</t>
  </si>
  <si>
    <t>Harem, Animated, Male protagonist, Superpowers, Romance</t>
  </si>
  <si>
    <t>Konoha Training [Ch.2 v0.7] [KonohaTraining]</t>
  </si>
  <si>
    <t>Pregnancy, Harem, Corruption, Mind control, Male protagonist</t>
  </si>
  <si>
    <t>Champion of Realms [v0.74 Public] [Zimon]</t>
  </si>
  <si>
    <t>Monster Girl, Harem, Romance, Animated, Adventure</t>
  </si>
  <si>
    <t>Drama</t>
  </si>
  <si>
    <t>Melatonin Magiks [Ch.3 v3.0 Public] [LaCokaGaming]</t>
  </si>
  <si>
    <t>Harem, Fantasy, Sci-fi, Group sex, Monster girl</t>
  </si>
  <si>
    <t>Wolf Complex [v0.9.1] [RecentlyLuckyMan]</t>
  </si>
  <si>
    <t>Incest, Simulator, Male Protagonist, 3DCG, Animated</t>
  </si>
  <si>
    <t>Last Wish [v0.3] [Avian]</t>
  </si>
  <si>
    <t>Harem, Fantasy, Romance, Humor, Creampie</t>
  </si>
  <si>
    <t>School of Love: Clubs! [v0.1.8.5] [NijuKozo]</t>
  </si>
  <si>
    <t>Lewd Town Adventures [v0.14.3] [Jamleng Games]</t>
  </si>
  <si>
    <t>Humor,  Corruption, Drugs, Pregnancy, Incest</t>
  </si>
  <si>
    <t>+1Kp Sub</t>
  </si>
  <si>
    <t>Lessons in Love [v0.28.0] [Selebus]</t>
  </si>
  <si>
    <t>Vixens Tail: Duskvale [v1.0] [Fluxcarnal]</t>
  </si>
  <si>
    <t>Futa/trans, Futa/trans Protagonist, Adventure, Monster Girl, Fantasy</t>
  </si>
  <si>
    <t>No $</t>
  </si>
  <si>
    <t>Alter Love [v0.0.1] [ChicoNet]</t>
  </si>
  <si>
    <t>Corruption, Harem, Incest, Teasing, Voyeurism</t>
  </si>
  <si>
    <t>Temi</t>
  </si>
  <si>
    <t>Changing Life [v0.4.1] [WombatGames]</t>
  </si>
  <si>
    <t>HS Tutor [v0.15.0] [TK8000]</t>
  </si>
  <si>
    <t>Depraved Town: Remake [v0.3.0] [JustAnotherDegenerate]</t>
  </si>
  <si>
    <t>3DCG, Incest, Corruption, Harem, Milf</t>
  </si>
  <si>
    <t>Symphonic Love [v0.5] [IndieGO Studios]</t>
  </si>
  <si>
    <t>Dating Sim, Vaginal, Creampie, Gay, Male Protagonist</t>
  </si>
  <si>
    <t>ISOR [v0.7 Bugfix] [Mystic CRO]</t>
  </si>
  <si>
    <t>Harem, Romance, Fantasy, Animated, Loli</t>
  </si>
  <si>
    <t>Hom Factory: My Monster Girl Tower [v3.0.1] [Hom Factory Devs]</t>
  </si>
  <si>
    <t>Harem, Adventure, Fantasy, Group Sex, Monster Girl</t>
  </si>
  <si>
    <t>Morgan and Pestle [v0.1] [cyborgturtle]</t>
  </si>
  <si>
    <t>Futa/trans, Transformation, Big Tits, Big Ass, Monster Girl</t>
  </si>
  <si>
    <t>Twisted World [v0.7.2] [SnatsGames]</t>
  </si>
  <si>
    <t>Android LIFE [v0.4.1.1] [MateDolce]</t>
  </si>
  <si>
    <t>Traced</t>
  </si>
  <si>
    <t>2DCG, Male Protagonist, Romance, Female Domination, Animated</t>
  </si>
  <si>
    <t>In Another World [v0.1.0] [HND]</t>
  </si>
  <si>
    <t>Parody Sex Life [v0.40] [ParadiceZone]</t>
  </si>
  <si>
    <t>Depraved Town: Remake [v0.4 Remake] [JustAnotherDegenerate]</t>
  </si>
  <si>
    <t>3DCG, Female Protagonist, Incest, Corruption, Lesbian</t>
  </si>
  <si>
    <t>Overlord H [R48] [Winterfire]</t>
  </si>
  <si>
    <t>Harem, Male Protagonist, Parody, Pregnancy, Monster Girl</t>
  </si>
  <si>
    <t>Poke-Ball Academia 2 [Final] [ZaneSFM]</t>
  </si>
  <si>
    <t>Reboot Love 1 More Time [v0.9.98] [Reboot Love]</t>
  </si>
  <si>
    <t>Incest, RPG, Superpowers, Male protrogonist, Romance</t>
  </si>
  <si>
    <t>Trouble in Paradise [v1.4 Part 2] [Syko134]</t>
  </si>
  <si>
    <t>Incest, Harem, Humor, Superpowers, Animated</t>
  </si>
  <si>
    <t>ImoTsuyo: If It's for My Young Sister, I'll Be Stronger [v0.14] [otaku_argento]</t>
  </si>
  <si>
    <t>3DCG, Kinetic Novel, Male Protagonist, Romance, School setting</t>
  </si>
  <si>
    <t>Literature Hentai Club [v0.39] [Daraus]</t>
  </si>
  <si>
    <t>Pokégirl Paradise [v0.9] [slormo]</t>
  </si>
  <si>
    <t>Somatra Rmk [v1.2.0] [Somatra]</t>
  </si>
  <si>
    <t>Granter of Your Desires - R [v0.14 Demo] [MaxCoffee]</t>
  </si>
  <si>
    <t>AdventureStudio [2022-06-16] [AdventureStudio]</t>
  </si>
  <si>
    <t>Collection</t>
  </si>
  <si>
    <t>The Young Master [v0.03 Public] [Purunga]</t>
  </si>
  <si>
    <t>Takei's Journey [v0.21 Part 2] [Ferrum]</t>
  </si>
  <si>
    <t>Harem, Corruption, Romance, Milf, Loli</t>
  </si>
  <si>
    <t>Training Slayer [v21.0] [BokunDev]</t>
  </si>
  <si>
    <t>Dating Sim, Harem, Animated, Corruption, Male Protagonist</t>
  </si>
  <si>
    <t>I</t>
  </si>
  <si>
    <t>Man Of Culture [Ch. 3] [mryourass]</t>
  </si>
  <si>
    <t>Heavenly Peaks Cultivation [v2.0] [My Big Little Brother]</t>
  </si>
  <si>
    <t>Harem, Creampie, Anal, Adventure, Fantasy</t>
  </si>
  <si>
    <t>The Nobody in a Hero's World [Ep. 1 Part 3] [DuckDevGames]</t>
  </si>
  <si>
    <t>Harem, Fantasy, Humor, Vaginal Sex, Romance</t>
  </si>
  <si>
    <t>From the Eclipse [v0.3.2s] [Erochaser]</t>
  </si>
  <si>
    <t>BattleArenaReyka [v0.0.2] [Artisnal Depravity]</t>
  </si>
  <si>
    <t>Female Domination, Female Protagonist , Lesbian, Turn Based Combat, RPG</t>
  </si>
  <si>
    <t>All Demons Go to Heaven [v10.0.0] [Sedhaild]</t>
  </si>
  <si>
    <t>COM3D2</t>
  </si>
  <si>
    <t>Harem, Fantasy, Humor, Vaginal Sex, Corruption</t>
  </si>
  <si>
    <t>P</t>
  </si>
  <si>
    <t>New Life [v1.0] [SheepyWorksGames]</t>
  </si>
  <si>
    <t>My Time with You [Book 2 Ch.23] [EoloStudios]</t>
  </si>
  <si>
    <t>Delusion [v0.3] [Shirahoshi Studio]</t>
  </si>
  <si>
    <t>Crimson High [v0.29.1] [Vertigo]</t>
  </si>
  <si>
    <t>Harem, Fantasy, Romance, Monster Girl, Humor</t>
  </si>
  <si>
    <t>Sensei Overnight [v0.18.0] [Pers0nas]</t>
  </si>
  <si>
    <t>Free Use Planet [v0.21.0] [Kyuso]</t>
  </si>
  <si>
    <t>Harem, Animated, Creampie, Incest, POV</t>
  </si>
  <si>
    <t>God &amp; Void [v0.1.6.B1] [Elrath Creations]</t>
  </si>
  <si>
    <t>Surrendering to My Crush [v1.11] [BolskanLewd]</t>
  </si>
  <si>
    <t>Female Domination, Sissification, Slave, Male Protagonist, Footjob</t>
  </si>
  <si>
    <t>Goddesses' Whim [v0.3.1 Public] [Ncrow]</t>
  </si>
  <si>
    <t>Shy Girl [v0.84] [ShyGirlArt]</t>
  </si>
  <si>
    <t>Memories of a Dream [v0.3] [memori-dev]</t>
  </si>
  <si>
    <t>One Piece: Lost at Sea [v0.1a] [Dochino]</t>
  </si>
  <si>
    <t>Tutor 2: Still Hard at Work [v1.2] [NephremKa]</t>
  </si>
  <si>
    <t>Summer MC: That Time I Found a Magic Hypno Book [v0.12.5] [Hypnoink]</t>
  </si>
  <si>
    <t>Sexual Interest [v0.4.0] [Armoreau]</t>
  </si>
  <si>
    <t>Failing to Fathom [v0.4.5] [TwoHands]</t>
  </si>
  <si>
    <t>Klee Prank Adventure [v1.15] [Pinkmochidango]</t>
  </si>
  <si>
    <t>Corruption, Blackmail, Voyeurism, Parody, Female Protagonist</t>
  </si>
  <si>
    <t>Fantasy School [v0.9] [Darklender Studios]</t>
  </si>
  <si>
    <t>Perfect Family [Update 7] [POHG]</t>
  </si>
  <si>
    <t>Crystal Minds [v0.2] [kunyoby]</t>
  </si>
  <si>
    <t>Keepers 1: Revolution [v1.1] [Lumari]</t>
  </si>
  <si>
    <t>Female Protagonist, Fantasy, Futa/Trans, Lesbian, Corruption</t>
  </si>
  <si>
    <t>A Better Place [Ch. 4] [TheLostOne]</t>
  </si>
  <si>
    <t>Male Protagonist, Group Sex, Romance, Lesbian, Voyeurism</t>
  </si>
  <si>
    <t>Dreamland Wanderer [Ch.3 - Anniversary Update] [Shli]</t>
  </si>
  <si>
    <t>Incest, Harem, Anal Sex, Romance, Fantasy</t>
  </si>
  <si>
    <t>Jump Harem [v0.52] [Arkleoff]</t>
  </si>
  <si>
    <t>Harem, Parody, Male Protagonist, Group Sex, Teasing</t>
  </si>
  <si>
    <t>Natsumi Love Story [v0.4.6] [Steradianfauns]</t>
  </si>
  <si>
    <t>Incest, Harem, Male Protagonist, School Settings, Romance</t>
  </si>
  <si>
    <t>NSFW: Natural Selection Female Wrestling [Final] [NSFW Gamer]</t>
  </si>
  <si>
    <t>Incest, Male Protagonist, Animated, Big Tits, Lesbian</t>
  </si>
  <si>
    <t>My Second Family [v0.19.0] [Kyuso]</t>
  </si>
  <si>
    <t>Can You HEAL Me!? [Ep. 1] [AstRider]</t>
  </si>
  <si>
    <t>Dating Sim, Romance, Voiced, Graphical Violence, Virgin</t>
  </si>
  <si>
    <t>Zap [v0.4] [Spoinker]</t>
  </si>
  <si>
    <t>3DCG, Superpowers, Male Protagonist, Multiple Ending, Female Domination</t>
  </si>
  <si>
    <t>Artificial Awakening [v0.10.1] [ShinyDarkRai]</t>
  </si>
  <si>
    <t>Male Protagonist, POV, School Setting, Animated, Sci-fi</t>
  </si>
  <si>
    <t>Kana Sensei [v0.3.1.1 Public] [Kana]</t>
  </si>
  <si>
    <t>Spanking, Animated, Female Protagonist, Humiliation, and School Setting</t>
  </si>
  <si>
    <t>5 Powers [Final] [IceCreamParty]</t>
  </si>
  <si>
    <t>Animated, POV, Titfuck, Harem, Humor</t>
  </si>
  <si>
    <t>The Daily Life of the Pan Hero [v0.6.1] [Steradianfauns]</t>
  </si>
  <si>
    <t>Incest, Harem, Male Protagonist, Fantasy, Romance</t>
  </si>
  <si>
    <t>Ero Ero No Mi: The Great Adventure [Ch.7] [kraguto games]</t>
  </si>
  <si>
    <t>Parody, Harem, Male Protagonist, Animated, Vaginal Sex</t>
  </si>
  <si>
    <t>Ways of the Hero [v1.0] [Dr. Peanut]</t>
  </si>
  <si>
    <t>School Setting, Exhibitionism ,Animated, Oral Sex, Prostitution</t>
  </si>
  <si>
    <t>How I Became the Bodyguard of the Saintess! [v0.5] [Lunardis]</t>
  </si>
  <si>
    <t>Fantasy, Romance, Humor, Incest, Superpowers</t>
  </si>
  <si>
    <t>I Want to Dream [v1.0] [Yost]</t>
  </si>
  <si>
    <t>Fall of the Angels [v0.3.4] [13th Sin Games]</t>
  </si>
  <si>
    <t>Long Lost Daughter [Ch 1-8 fix] [Tawny Fairquim Frolics]</t>
  </si>
  <si>
    <t>Onhold</t>
  </si>
  <si>
    <t xml:space="preserve">Male Protagonist, Vaginal Sex, Incest, Religion, Urination. </t>
  </si>
  <si>
    <t>Feelings of Love [v1.0] [Kraguto Games]</t>
  </si>
  <si>
    <t>Male Protagonist, Trap, Romance, Parody, Harem</t>
  </si>
  <si>
    <t>The Tune of Your Death [v0.4.5] [Morpheus03]</t>
  </si>
  <si>
    <t>Slave Idol Project [Day 4] [Jerry Beans Man]</t>
  </si>
  <si>
    <t>♣4 already reported D</t>
  </si>
  <si>
    <t>Teens [v0.3.0] [Catsudev]</t>
  </si>
  <si>
    <t>Two Sides of the Same Coin [v0.3.1.5] [Dajamtssc]</t>
  </si>
  <si>
    <t>Slaves [v0.1C] [Avaque]</t>
  </si>
  <si>
    <t>Patter [Ch 2 Part 1] [Kalloway]</t>
  </si>
  <si>
    <t>Purr of Love [v1.0] [PawPunchWorks]</t>
  </si>
  <si>
    <t>Summer Hotel Harem [v0.0.3 Chapter 3] [LewdMilk]</t>
  </si>
  <si>
    <t>Pokégirl Stories #1: Lillie's Toilet troubles [v0.2] [slormo]</t>
  </si>
  <si>
    <t>Master Rune [v0.3] [LizardsFromSpace]</t>
  </si>
  <si>
    <t>Tales of Unity [v0.11] [Stronkboi]</t>
  </si>
  <si>
    <t>Class of 2014 [v0.3.2] [Blazing Bob]</t>
  </si>
  <si>
    <t>Z Training [v0.5] [KonohaTraining]</t>
  </si>
  <si>
    <t>Cellular Shift [v0.6.5] [Pattern On The Pants Games]</t>
  </si>
  <si>
    <t>Futa/Trans, Transformation, Sci-fi, Mind Control, Female Protagonist</t>
  </si>
  <si>
    <t>CA$</t>
  </si>
  <si>
    <t>Moon Tails Harem [v0.0.1] [Pink Lamb]</t>
  </si>
  <si>
    <t>Mentor Life [v0.6] [BRdsky]</t>
  </si>
  <si>
    <t>Drakun x Demon! I'll become the strongest mage in the world! [v1.87] [inoriBot]</t>
  </si>
  <si>
    <t>Adventure, Fantasy, Group Sex, Male Protagonist, NTR</t>
  </si>
  <si>
    <t>Justice and Tribulation [v0.8] [Ale56]</t>
  </si>
  <si>
    <t>Detective: Purity &amp; Decay what will you choose [v0.0.4] [Nijo]</t>
  </si>
  <si>
    <t>What's Mine Is Yours [v0.2.0 Remake] [VitalSigns]</t>
  </si>
  <si>
    <t>♣1</t>
  </si>
  <si>
    <t>Censored Sight [v0.5.1] [Aquaworshipper]</t>
  </si>
  <si>
    <t>Bloom [v0.017a] [Demon Flower Studios]</t>
  </si>
  <si>
    <t>Light Within [Episode 5] [Double Moon]</t>
  </si>
  <si>
    <t>Church of Sin [v1.3] [Church Of Sin]</t>
  </si>
  <si>
    <t>Kapsin [Ch.3 Beta] [Marv]</t>
  </si>
  <si>
    <t>Crossing World [v0.4] [TheBigFish NSFW]</t>
  </si>
  <si>
    <t>Ich Will Project [v0.3.1] [Amazoness Enterprises]</t>
  </si>
  <si>
    <t>Sci-Fi, Fantasy, Romance, Female Domination, Exhibitionism</t>
  </si>
  <si>
    <t>The Beautiful World [v0.4189(Saga)] [DaveBoon]</t>
  </si>
  <si>
    <t>DateSlut [v0.2] [DevilxGame]</t>
  </si>
  <si>
    <t>Overpowered [Ep. 12] [YoshiGames]</t>
  </si>
  <si>
    <t>Nature's Twats [v0.0.2] [TOILETdev_2976]</t>
  </si>
  <si>
    <t>Winds of the Destiny [v0.8.0] [Golden Novels]</t>
  </si>
  <si>
    <t>The Boy Who Dicked Through Time [Ch. 1] [Accurate Asteroid Games]</t>
  </si>
  <si>
    <t>Santa Catalina Gakuen [v1.0] [Wasabi Productions]</t>
  </si>
  <si>
    <t>Love Lurker [v1.0] [Double Moon]</t>
  </si>
  <si>
    <t>Tales of Magic School [v0.9.780] [Livia_isButterfly]</t>
  </si>
  <si>
    <t>Male protagonist, Harem, Parody, Animated, Vaginal Sex</t>
  </si>
  <si>
    <t>Welcome to Bell College - Charme et Sortilège [v0.4.1] [Armand Ribo]</t>
  </si>
  <si>
    <t>Fantasy, Futa/trans Protagonist, Graphic Violence, Mind Control, School Setting</t>
  </si>
  <si>
    <t>No info</t>
  </si>
  <si>
    <t>Among Ass [v0.0.1] [Jackedgames]</t>
  </si>
  <si>
    <t>A Hero's Sex Journey [v0.1.0] [Obtusk]</t>
  </si>
  <si>
    <t>Stories of Seduction [v0.1] [Inspiro69]</t>
  </si>
  <si>
    <t>DREAM LINK [v1.0] [MRDECIM]</t>
  </si>
  <si>
    <t>Kuro [v1.0] [Renlion69]</t>
  </si>
  <si>
    <t>Lusty Town [v0.2.0] [LustyGames]</t>
  </si>
  <si>
    <t>Bed for 3 [v0.12] [Tonjj]</t>
  </si>
  <si>
    <t>Crazy GameMaster: The witch [Demo] [RpgCrazy]</t>
  </si>
  <si>
    <t>Lewd Teacher [v0.4] [bLDStudio]</t>
  </si>
  <si>
    <t>Average Abilities [Book 1 Ch 1] [AnimeKing314]</t>
  </si>
  <si>
    <t>The Demon Lord in Another World [v1.0] [MrDracosaurus]</t>
  </si>
  <si>
    <t>3DCG, Kinetic Novel, Romance, Monster Girl, Pregnancy</t>
  </si>
  <si>
    <t>Tasogare No Sinsemilla (Sakuya scene) [Final] [Lunardis]</t>
  </si>
  <si>
    <t>Animated, Humor, Romance, Incest, Male Protagonist</t>
  </si>
  <si>
    <t>Poke-Ball Academia! [FULL] [ZaneSFM]</t>
  </si>
  <si>
    <t>Angelic Dreams [Final] [LeChroniqueur]</t>
  </si>
  <si>
    <t>Vixens Tail [v1.0] [Fluxcarnal]</t>
  </si>
  <si>
    <t>Love Change [v1.0c] [Double Moon]</t>
  </si>
  <si>
    <t>My Teacher is a Webcam Model [v1.0] [zebrapunk54]</t>
  </si>
  <si>
    <t>Fate/Squeeze Order [Final] [ZaneSFM]</t>
  </si>
  <si>
    <t>Teaching hard or hardly teaching? [v1.0] [NephremKa]</t>
  </si>
  <si>
    <t>Treacherous Desires [Final] [HirumaY]</t>
  </si>
  <si>
    <t>Long Way Home [v1.0 - Finished] [Mystic CRO]</t>
  </si>
  <si>
    <t>Romance, Blackmail, Male Protagonist, Animated</t>
  </si>
  <si>
    <t>Virtual Anime Succubus - Sakura [Final] [Arkleoff]</t>
  </si>
  <si>
    <t>Parody, Fantansy, Simulator, Male Protagonist, Teasing</t>
  </si>
  <si>
    <t>Fate King [Final] [Hashibiroko]</t>
  </si>
  <si>
    <t>Breaking Clover [v1.0] [LewdSinner]</t>
  </si>
  <si>
    <t>Jiggly Jigsaw [v1.1.0] [Ambir]</t>
  </si>
  <si>
    <t>Nightmares Before Halloween [v1.0] [MrDracosaurus]</t>
  </si>
  <si>
    <t>3DCG, Monster Girl, Pregnancy, Ahegao, Multiple endings</t>
  </si>
  <si>
    <t>Emilia &amp; Joseph: Exploited Innocence [v0.10.7] [HannahHonGames]</t>
  </si>
  <si>
    <t>RPGM</t>
  </si>
  <si>
    <t>RPG</t>
  </si>
  <si>
    <t>The Legend Of Yashi [v1.0] [One Heroic Man Studio]</t>
  </si>
  <si>
    <t>TBC</t>
  </si>
  <si>
    <t>Grand Uni Battle [v0.2] [PinkDream]</t>
  </si>
  <si>
    <t>MsQ 3D Remake [Final] [SaltySai]</t>
  </si>
  <si>
    <t>Thecatbred</t>
  </si>
  <si>
    <t>Bawdy Traditions [v1.2] [Aedirn Studio]</t>
  </si>
  <si>
    <t>NTR, Female Protagonist, Exhibitionism, Groping, Corruption</t>
  </si>
  <si>
    <t>Shrinking Stories [v1.0] [xredzerox]</t>
  </si>
  <si>
    <t>The Pirates of Lust [v0.0.49.2] [Potatoes and Dragons]</t>
  </si>
  <si>
    <t>Chronicles of the Chaosborn [v0.22] [Chaosborn]</t>
  </si>
  <si>
    <t>Male Protagonist, Harem, Monster girl, Animated, Incest</t>
  </si>
  <si>
    <t>Escape from Misantria [v0.8.3] [Ariestra]</t>
  </si>
  <si>
    <t>Female Domination, Male Protagonist, BDSM, Big Tits, Graphic Violence</t>
  </si>
  <si>
    <t>Pyrrhic Devotion [v0.03f] [Meathicus Man]</t>
  </si>
  <si>
    <t>Male Protagonist, Animated, Fantasy, Romance, Harem</t>
  </si>
  <si>
    <t>Libras</t>
  </si>
  <si>
    <t>The Hidden End [v0.2.8b] [Aedirn Studio]</t>
  </si>
  <si>
    <t>After Ending [v0.4] [lop333]</t>
  </si>
  <si>
    <t>Knight of Love [Part 1 H6] [Slightly Pink Heart]</t>
  </si>
  <si>
    <t>Goddess Fighter [v0.3] [Erxy]</t>
  </si>
  <si>
    <t>Nex(e)us Institute [v0.04.2] [TheHypnotizator]</t>
  </si>
  <si>
    <t>Little Witch Emily [v0.6.3] [Dantor]</t>
  </si>
  <si>
    <t>Harem Collector [v0.56.1] [Bad Kitty Games]</t>
  </si>
  <si>
    <t>Others</t>
  </si>
  <si>
    <t>2095conash</t>
  </si>
  <si>
    <t>Harem RPG Unofficial Remake [C5.0] [Kuroki]</t>
  </si>
  <si>
    <t>I Woke Up Inside a Pixiv Game [v0.28] [風琴]</t>
  </si>
  <si>
    <t>God's Sandbox [v0.1.2] [UNREDDY]</t>
  </si>
  <si>
    <t>That Wacky Magic! [Demo] [Amethysta Games]</t>
  </si>
  <si>
    <t>New Adventure New Life [v0.7.0] [BMNStudio]</t>
  </si>
  <si>
    <t>Natsuru Roshutsu [v0.2] [SeductiveKneesocks]</t>
  </si>
  <si>
    <t>Rebel Kingdom [Ch.4] [SaltySai]</t>
  </si>
  <si>
    <t>Rebel Island Remake [Final] [SaltySai]</t>
  </si>
  <si>
    <t>Fate Grand Escape [Final] [SaltySai]</t>
  </si>
  <si>
    <t>Quick-fix 3 [Final] [SaltySai]</t>
  </si>
  <si>
    <t>Rebel Academy [Ch.1-5 Final] [SaltySai]</t>
  </si>
  <si>
    <t>Crazy GameMaster: The 7 Crystals [v1.0] [RpgCrazy]</t>
  </si>
  <si>
    <t>Behind the Truth: The Reckoning [v1.0 Final] [AstRider]</t>
  </si>
  <si>
    <t>Graphic Violence, Interracial, Romance, Transformation, Harem</t>
  </si>
  <si>
    <t>Legacy of Hestia [R30] [Winterfire]</t>
  </si>
  <si>
    <t>Unity</t>
  </si>
  <si>
    <t>Male Protagonist, Romance, Parody, Fantasy, Creampie</t>
  </si>
  <si>
    <t>Tummy ASMR [v.1.0.2] [Fierylion]</t>
  </si>
  <si>
    <t>----</t>
  </si>
  <si>
    <t>Armagon 2069 [v0.2.2] [XDeysX]</t>
  </si>
  <si>
    <t>Slime Outbreak [v0.4] [Fierylion]</t>
  </si>
  <si>
    <t>Secret Care Cafe [v0.8.22 Patreon] [Rare Alex]</t>
  </si>
  <si>
    <t>Management</t>
  </si>
  <si>
    <t>Swinging, Multiple Penetration, Group Sex, NTR, Animated</t>
  </si>
  <si>
    <t>Roachnighter [v0.4] [Antlyon]</t>
  </si>
  <si>
    <t>Out of Touch! [v2.91.1] [Story Anon]</t>
  </si>
  <si>
    <t>♠2 already reported</t>
  </si>
  <si>
    <t>Streaming with Portals [v0.2.3.1] [Fierylion]</t>
  </si>
  <si>
    <t>Femdom Fighters [v8] [Alice452]</t>
  </si>
  <si>
    <t>Undefined</t>
  </si>
  <si>
    <t>That time I got reincarnated but stayed a chump [Prototype] [Hedgecog games]</t>
  </si>
  <si>
    <t>Unreal</t>
  </si>
  <si>
    <t>Fantasy, Parody, Adventure, Multiple Endings, Male Protagonist</t>
  </si>
  <si>
    <t>Femtality! [v0.15.0] [Aerisetta]</t>
  </si>
  <si>
    <t>Only Bugs [v0.2] [Antlyon]</t>
  </si>
  <si>
    <t>Cumball [v0.1] [Cumball Game]</t>
  </si>
  <si>
    <t>Conception Maiden [Demo v4] [pizzacat]</t>
  </si>
  <si>
    <t>First Taste of Freedom [v0.1.0b] [PinkestPetunia]</t>
  </si>
  <si>
    <t>HTML</t>
  </si>
  <si>
    <t>A Bellyful Life [v0.3] [FieryLion]</t>
  </si>
  <si>
    <t>Monster girl investigator [v1.1.0] [ChiseGames]</t>
  </si>
  <si>
    <t>Cursed Overlord [v1.04] [King's Turtle]</t>
  </si>
  <si>
    <t>EMPTY-66822 [v9] [Lonery-Moon]</t>
  </si>
  <si>
    <t>Edenwelder! [v0.3] [Sainty Marie]</t>
  </si>
  <si>
    <t>Take Your Time [v0.0.8d] [Rikketz]</t>
  </si>
  <si>
    <t>Relay Swimming [Premium] [kk2oven]</t>
  </si>
  <si>
    <t>Make Something Happen [Final] [kk2oven]</t>
  </si>
  <si>
    <t>Waifu: The School [Final] [Introdream Arts]</t>
  </si>
  <si>
    <t>Tiki's Summer Memories [v1.1.3] [greedylust23]</t>
  </si>
  <si>
    <t>WebGL</t>
  </si>
  <si>
    <t>Marnie In A Tight Spot [v1.1.2] [greedylust23]</t>
  </si>
  <si>
    <t>Sex Puppet [Final] [Quarkyifu]</t>
  </si>
  <si>
    <t>Lily's Handmaid [v1.4.0] [Arcus Plume]</t>
  </si>
  <si>
    <t>Succubus Research Diary [v1.5.1] [Arcus Plume]</t>
  </si>
  <si>
    <t>Sexy Minesweep [v1.2] [Ambir]</t>
  </si>
  <si>
    <t>The Fixer [v0.3.1.65] [Sam_Tail]</t>
  </si>
  <si>
    <t>The Fairy Tale of Holy Knight Ricca: Two Winged Sisters [v1.3.2] [Mogurasoft]</t>
  </si>
  <si>
    <t>Trampling Town [v0.23.1] [Aery]</t>
  </si>
  <si>
    <t>Glitter Invitation [v0.25] [Snow Drop]</t>
  </si>
  <si>
    <t>Azinyth: My Succubus Friends [Demo 1] [aZephyNight]</t>
  </si>
  <si>
    <t>Drive Fairy Ideal Raise [v1.0] [Riez-ON]</t>
  </si>
  <si>
    <t>Heart of Dungeon [Final] [Hitori Games]</t>
  </si>
  <si>
    <t>Forbidden Ninja Scroll: Kunoichi Training [Prototype v1.0] [Forbidden Ninja Scroll]</t>
  </si>
  <si>
    <t>Simulator</t>
  </si>
  <si>
    <t>Harem, 3D Game, Virtual Reality, Adventure, Fantasy</t>
  </si>
  <si>
    <t>Virtual Succubus [v0.37 PR4] [SuccuDev]</t>
  </si>
  <si>
    <t>The Dorm Is Yours! [Final] [Kami.Pimp.]</t>
  </si>
  <si>
    <t>Gold Wiper [Final] [Edge Games]</t>
  </si>
  <si>
    <t>Expo Lust [Final] [Good Soft Games]</t>
  </si>
  <si>
    <t>Calendar Bitchy Girlfriend's NTR Fiction [Final] [Fried tomatoes]</t>
  </si>
  <si>
    <t>Hakus Harem [v1.01] [Horoichi]</t>
  </si>
  <si>
    <t>Summer Sacrifice BetterRepack [v0.04 R0.2] [Miconisomi]</t>
  </si>
  <si>
    <t>It's time for premature ejaculation correction training. Master [Final] [POCOTENGTONGTANG]</t>
  </si>
  <si>
    <t>Harem High School [v0.2.5] [SpliFF Productions]</t>
  </si>
  <si>
    <t>The Portal [v0.1 Fixed] [Kyuba]</t>
  </si>
  <si>
    <t>A_E</t>
  </si>
  <si>
    <t>A Boring Day [v1.0] [nexTGen]</t>
  </si>
  <si>
    <t>BigMistake [Ep. 1] [nexTGen]</t>
  </si>
  <si>
    <t>Studying with Ellie [Pre-Alpha] [Nora-Sensei]</t>
  </si>
  <si>
    <t>The life of Haruka [v0.1] [Kraguto]</t>
  </si>
  <si>
    <t>Deep Freeze [v0.1] [Deep Freeze]</t>
  </si>
  <si>
    <t>Untitled [v0.01] [Mikiasu]</t>
  </si>
  <si>
    <t>Passion City [Beta 1.5.1] [Chrys]</t>
  </si>
  <si>
    <t>Hack in Love [v0.3] [Blaskure]</t>
  </si>
  <si>
    <t>Overpowered [v0.6] [Yoshimitsu]</t>
  </si>
  <si>
    <t>M</t>
  </si>
  <si>
    <t>SexSoulsNa [v0.1] [pasunna]</t>
  </si>
  <si>
    <t>Lost Paradise [v1.2] [EMAGREVO18]</t>
  </si>
  <si>
    <t>OA: New Beginnings [v0.0.2] [Yukimomo]</t>
  </si>
  <si>
    <t>Happy Homestay [v0.1.0] [Flamy]</t>
  </si>
  <si>
    <t>Love Of My Life [v0.2] [GeneraLKaseime]</t>
  </si>
  <si>
    <t>The Magical Family [v0.1a] [LunaLena]</t>
  </si>
  <si>
    <t>Sunrise College [v0.1.0] [PixelPorium]</t>
  </si>
  <si>
    <t>Three Houses [v0.1.7] [JYP Games]</t>
  </si>
  <si>
    <t>Monster Cohabitation [Day 4 Beta] [MonsterSage]</t>
  </si>
  <si>
    <t>LOTD [v0.0.5] [M.C Games]</t>
  </si>
  <si>
    <t>(dot) Quarantine [v0.2] [Azure]</t>
  </si>
  <si>
    <t>Kingdoms: Origins [v0.5b] [M.C Games]</t>
  </si>
  <si>
    <t>Pokeman Quest 2 - Trainer Quest Origins [Final] [SaltySai]</t>
  </si>
  <si>
    <t>Rebel Island Original |[Release 1-3.5] [SaltySai]</t>
  </si>
  <si>
    <t>Heart-Throbbing "School" Life [2020-09-27 Demo] [AzureEmblem]</t>
  </si>
  <si>
    <t>Under My Assassin Pride [Prologue] [Legitheart]</t>
  </si>
  <si>
    <t>New Body, New Life [v0.7] [Moccasin's Mirror]</t>
  </si>
  <si>
    <t>Charao Life! [v0.6.15] [TripleSevenRPG]</t>
  </si>
  <si>
    <t>Innocent [v0.3.1] [SushiGames]</t>
  </si>
  <si>
    <t>The Mysterious Island [0.4.0b] [Doc5252]</t>
  </si>
  <si>
    <t>Isekaid [v0.0.2] [PervyGoose]</t>
  </si>
  <si>
    <t>Lust Awakens [v0.3] [PyreSoft]</t>
  </si>
  <si>
    <t>Health Class [v0.1] [OfficiallyGames]</t>
  </si>
  <si>
    <t>The Desired Affair [v0.2] [Vitalsigns]</t>
  </si>
  <si>
    <t>M+</t>
  </si>
  <si>
    <t>Sweet Desire Saga [v0.1.2] [D.RsTer]</t>
  </si>
  <si>
    <t>School Boss: Harem [v0.0.3] [Hot Hill]</t>
  </si>
  <si>
    <t>Young Lust [v0.21a] [VinnLemon]</t>
  </si>
  <si>
    <t>Chaotic Neutral [v1.2] [Chaotic Neutral]</t>
  </si>
  <si>
    <t>My Sisters Put A Chastity Cage On Me [v0.4] [RommelCage]</t>
  </si>
  <si>
    <t>House Management in the New World [v0.2] [Scrambeled Noise]</t>
  </si>
  <si>
    <t>The Baby Daddy [v0.4a] [TripleSevenRPG]</t>
  </si>
  <si>
    <t>Battle of the Angels [v0.2] [LeonProductions]</t>
  </si>
  <si>
    <t>Cow In My House [v0.23.7] [Mr.Lspo]</t>
  </si>
  <si>
    <t>Crossing Lust [v0.15] [RsTTer_DP]</t>
  </si>
  <si>
    <t>SeaL [v0.11 Gamma] [Vernam]</t>
  </si>
  <si>
    <t>Can a School Librarian Get a Cute Girlfriend? [v0.1.0] [DarkYagami]</t>
  </si>
  <si>
    <t>Anime World Photographer [0.001] [KK2Oven]</t>
  </si>
  <si>
    <t>Teachable Moment [v0.3.2] [Kuroyama]</t>
  </si>
  <si>
    <t>Coach [v0.3] [Anada Studio]</t>
  </si>
  <si>
    <t>Almaria [v0.275] [JayWang Games]</t>
  </si>
  <si>
    <t>Lewd Cases of Quebe Village [v0.2.1] [Shinneru]</t>
  </si>
  <si>
    <t>Sisntea: Sister &amp; Teacher [v0.05b] [Nerv]</t>
  </si>
  <si>
    <t>Whitewillow High [v0.05] [Awakening Studios]</t>
  </si>
  <si>
    <t>Record of Asturion War [v0.23] [Tjord]</t>
  </si>
  <si>
    <t>Lewd Town Road [v0.1] [RuwanLTR]</t>
  </si>
  <si>
    <t>Operation XYX: The House Always Wins [v0.1] [ReverseRyonaNet]</t>
  </si>
  <si>
    <t>BreedTown [Final] [Thatcombatwombat]</t>
  </si>
  <si>
    <t>Survival Game [v1.4] [Renlion69]</t>
  </si>
  <si>
    <t>Despair Labyrinth: Ransom of Elynsor [v0.09] [Takimaru]</t>
  </si>
  <si>
    <t>Your Chronicles [v0.2.0] [SaltySai]</t>
  </si>
  <si>
    <t>Project: La Manor [Demo] [La Manor Dev]</t>
  </si>
  <si>
    <t>Left the Mafia to Run a Cafe [v0.1] [Thomoto]</t>
  </si>
  <si>
    <t>Hot Advertising [v0.1.6] [Sweet Games Studios]</t>
  </si>
  <si>
    <t>Aftermath [v1.6f] [VileMedia]</t>
  </si>
  <si>
    <t>Hero's Harem Guild [v0.1.2.1 Public] [Komisari]</t>
  </si>
  <si>
    <t>Special Lectures [v0.04b] [Flesstek]</t>
  </si>
  <si>
    <t>Give or Take [v0.3] [IllAdvised]</t>
  </si>
  <si>
    <t>After Stories [v0.1 Remake] [AstRider]</t>
  </si>
  <si>
    <t>Loli, Harem, Monster Girl, Romance, BDSM</t>
  </si>
  <si>
    <t>Eternal Bonds [v0.1] [Petrichor Studio]</t>
  </si>
  <si>
    <t>Sofia Needs Money [v0.2] [blueshirt616]</t>
  </si>
  <si>
    <t>Lemonade Halloween isn't that scary! [v0.0.2] [Borstiii]</t>
  </si>
  <si>
    <t>Retriever [Demo] [dodongomagnifico]</t>
  </si>
  <si>
    <t>A Peaceful Life [Episode 6] [FlyerPamphlet]</t>
  </si>
  <si>
    <t>Devilicious [v0.1.1] [ElusiveDreams]</t>
  </si>
  <si>
    <t>Breaking the Lust [v0.2] [Natch]</t>
  </si>
  <si>
    <t>My Waifu's Feet [v0.4] [Srun123]</t>
  </si>
  <si>
    <t>New Born King [v0.035] [Pink Peaches]</t>
  </si>
  <si>
    <t>SoS Haven [Ch.3] [Kazari Games]</t>
  </si>
  <si>
    <t>The Primaries [v0.07] [JoJoBrady]</t>
  </si>
  <si>
    <t>Autumm Memories [v1.0] [Paloma Studio]</t>
  </si>
  <si>
    <t>The Tarnish of Silver [v0.1] [Shino88]</t>
  </si>
  <si>
    <t>The Better Landlord [0.1] [CherryPopKelo]</t>
  </si>
  <si>
    <t>Beautiful Dark Love [v0.1.2 Beta] [Wasabi &amp; wise2face]</t>
  </si>
  <si>
    <t>Multiple protagonist, Fantasy, Multiple endings, Male Protagnist, Female Protagonists</t>
  </si>
  <si>
    <t>A Little Hope [v0.2] [Wuz/littleneiko]</t>
  </si>
  <si>
    <t>Sexy Shot [v0.2.1] [greedylust23]</t>
  </si>
  <si>
    <t>Off the beaten path [v1.0 Alpha] [Clad in a flaxen hue]</t>
  </si>
  <si>
    <t>Corrupt the Heroine [v0.0.1] [Cheedle]</t>
  </si>
  <si>
    <t>Fairy Trainer [v0.13.5] [AstRider]</t>
  </si>
  <si>
    <t>Harem, Romance, Corruption, Parody, Animated</t>
  </si>
  <si>
    <t>25Days: Hideout [v0.1] [Kyomasune]</t>
  </si>
  <si>
    <t>My Lover Is an Android [v0.01] [EchoWix Games]</t>
  </si>
  <si>
    <t>Female Protagonist, Handjob, School setting , Sci-fi, Superpowers</t>
  </si>
  <si>
    <t>Snow Brandia [Final] [Circle rin]</t>
  </si>
  <si>
    <t>Snow Brandia: Fairy Later [Final] [Circle rin]</t>
  </si>
  <si>
    <t>Lisapi's Adventures [v0.1.0.DEMO Public] [Keisi]</t>
  </si>
  <si>
    <t>Lesbian, Female Protagonist, Teasing, RPG, Humor</t>
  </si>
  <si>
    <t>A Growing Adventure [v0.26] [ATHGames]</t>
  </si>
  <si>
    <t>NinjaWay [v0.2] [Lusteam]</t>
  </si>
  <si>
    <t>Lewd Licorice</t>
  </si>
  <si>
    <t>The Crest Of Lust [v0.6.1] [Shōn]</t>
  </si>
  <si>
    <t>Futa/Trans, Monster Girl, Loli, Harem, Creampie</t>
  </si>
  <si>
    <t>Z Fighter Trainer [v0.13] [DagetaDev]</t>
  </si>
  <si>
    <t>Harem, 3DCG, Dating Simulator, Parody, Corruption</t>
  </si>
  <si>
    <t>B.P.K: Boom Pow Kablam [v0.1] [Spoinker]</t>
  </si>
  <si>
    <t>3DCG, Dystopian setting, Male Protagonist, Exhibitionism, Teasing</t>
  </si>
  <si>
    <t>Succubus Trick: Grown Up Problem [v0.7] [aPieceOfTissue]</t>
  </si>
  <si>
    <t>Celest Twilight [v0.6.0.B1] [Elrath Creations]</t>
  </si>
  <si>
    <t>Take That Succubus! [v0.4] [CallieTheCute]</t>
  </si>
  <si>
    <t>3DCG, Male Protagonist, Female Domination, Footjob, Humiliation</t>
  </si>
  <si>
    <t>Symphony of the Void [v0.4] [Mad Doc]</t>
  </si>
  <si>
    <t>Mind Control, Male Domination, Humiliation, Exhibitionism, Slave</t>
  </si>
  <si>
    <t>Ordinary Daily Ghosts [S1 E1 v0.9] [nudaludo]</t>
  </si>
  <si>
    <t>VKotegawa Hypnotic Exhibitionist Story [v0.22] [AquiNas]</t>
  </si>
  <si>
    <t>Academy of the Elite [v0.5] [Chaosborn]</t>
  </si>
  <si>
    <t>Harem, School Setting, Monster Girls, Romance, Fantasy</t>
  </si>
  <si>
    <t>Endara Chronicles: The Apothecary [0.7b PE] [Soniram]</t>
  </si>
  <si>
    <t>Harem, Monster Girl, Romance, Male Protagonist, Lesbian</t>
  </si>
  <si>
    <t>Tasty Mansion [v0.1.0] [pipez]</t>
  </si>
  <si>
    <t>Demons of Harem [v0.11] [Black_Cat]</t>
  </si>
  <si>
    <t>Corruption, Male Protagonist, Harem, Creampie, Pregnancy</t>
  </si>
  <si>
    <t>BreedTown 2 [Final] [Thatcombatwombat]</t>
  </si>
  <si>
    <t>Commanding a Harem [v1.0.2 Remake] [Thomoto]</t>
  </si>
  <si>
    <t>Secrets of Sorcery [v0.18.0 Public] [Habardgames]</t>
  </si>
  <si>
    <t>Glow of Venus [Final] [OnionCuttingNinja]</t>
  </si>
  <si>
    <t>Universex [v0.1.5] [Kiyoshi]</t>
  </si>
  <si>
    <t>Broken Dreams [v0.3] [Biggering]</t>
  </si>
  <si>
    <t>To NTR-Ru [v0.1] [NTRParody]</t>
  </si>
  <si>
    <t>latino007</t>
  </si>
  <si>
    <t>Demon Sword: Incubus [v1.17b5] [Brianode]</t>
  </si>
  <si>
    <t>Futa Family [v0.2.13] [Ani has Problems]</t>
  </si>
  <si>
    <t>Crazy GameMaster: Dolphins [v1.0] [RpgCrazy]</t>
  </si>
  <si>
    <t>Fate King - Beginning of the End [v0.2.2] [Hashibiroko]</t>
  </si>
  <si>
    <t>Project ARK [v0.8] [Nekoboxgame]</t>
  </si>
  <si>
    <t>Devil's Academy DxD [v0.3] [Naitoh]</t>
  </si>
  <si>
    <t>Mating Season [v0.0.10c] [Love OS Games]</t>
  </si>
  <si>
    <t>Sole Searching [v0.1] [Srun123]</t>
  </si>
  <si>
    <t>Total Maidness! [v0.17.7] [OnionCuttingNinja]</t>
  </si>
  <si>
    <t>Enticing School [v0.7.7] [Traitos]</t>
  </si>
  <si>
    <t>Anime Spa [Final] [KK2Oven]</t>
  </si>
  <si>
    <t>Sullied Rose [v0.1D] [Sleepy Devs]</t>
  </si>
  <si>
    <t>Emma [Demo] [AdventureStudios]</t>
  </si>
  <si>
    <t>Heir of Lust [v0.25] [Indeciso Games]</t>
  </si>
  <si>
    <t>Oedo Trigger [v1.0.5 Cracked] [CQC Software]</t>
  </si>
  <si>
    <t>Sailing! I Want to Fuck the Big-Breasted Captain of My Dreams! [Final] [MofuMofuGames]</t>
  </si>
  <si>
    <t>My Maid Dreams of Electric Sheep [v0.4.8] [dodongamagnifico]</t>
  </si>
  <si>
    <t>League of ToxiS [v0.5.0] [SaltySai]</t>
  </si>
  <si>
    <t>My Office Adventures [v1.00D1] [The Coder]</t>
  </si>
  <si>
    <t>Path To Dominion [v0.3.3] [DarkSummerLeaf]</t>
  </si>
  <si>
    <t>My Family Farm [v0.1.2] [FarmGuy]</t>
  </si>
  <si>
    <t>Special Harem Class [v0.2.3] [KagetoDev]</t>
  </si>
  <si>
    <t>School [v0.1] [MeowTheCat]</t>
  </si>
  <si>
    <t>Monster [Final] [ASOBI]</t>
  </si>
  <si>
    <t>Let Me Tell You Some Stories [v0.1] [Little Bean]</t>
  </si>
  <si>
    <t>Love or Power [v0.2.3] [Sihirbaz_arttzz]</t>
  </si>
  <si>
    <t>Code Scion: Secrets within [v0.1.8] [Zerosa Games]</t>
  </si>
  <si>
    <t>Lurking in My Destiny [v0.2.0] [SenseiDaimon]</t>
  </si>
  <si>
    <t>HaremRoid VR [v1.0 Final] [GamesSafu]</t>
  </si>
  <si>
    <t>Deepthroat Simulator VR [v1.092] [Squircle Games]</t>
  </si>
  <si>
    <t>Make a good Slave [v1.1] [QualityGlassesm]</t>
  </si>
  <si>
    <t>Resistance to Giantess [v2023-09-05] [Misottyo]</t>
  </si>
  <si>
    <t>United Forever [v0.1] [Capky Games]</t>
  </si>
  <si>
    <t>Futanari in the Multiversal World [v0.3a] [Regisbolg games]</t>
  </si>
  <si>
    <t>Shrink with a Succubus [v0.10.1] [M87124 Games]</t>
  </si>
  <si>
    <t>New Life [v0.1.3] [Sweet Games Studios]</t>
  </si>
  <si>
    <t>Joyful Days [v0.63] [Zel Dev]</t>
  </si>
  <si>
    <t>Multiverse Ballance [v0.9.6+Special] [Rose Games]</t>
  </si>
  <si>
    <t>Ejaculation Supporter [Final] [VR game shop]</t>
  </si>
  <si>
    <t>Explore with Charas [v0.69] [kk2oven]</t>
  </si>
  <si>
    <t>House of Pandemonium: Unity Edition [v1.0.9] [Throwawaylady]</t>
  </si>
  <si>
    <t>Cursed Estate [v0.3] [Grimdeity]</t>
  </si>
  <si>
    <t>Shadow Guardian [v0.6] [Nolosetio]</t>
  </si>
  <si>
    <t>HoloLewd Manager [v3.1 + Christmas Special] [AkkaSenpai]</t>
  </si>
  <si>
    <t>Grandpa's Treasure Ver. 0.1</t>
  </si>
  <si>
    <t>Strip Strikers [Demo] [BraveBengal]</t>
  </si>
  <si>
    <t>Bandits Assault [Final] [Draga]</t>
  </si>
  <si>
    <t>Mirror 2: Project X [Build 9519860] [KAGAMI Ⅱ WORKs]</t>
  </si>
  <si>
    <t>Regesterex [0.0.7] [Scarlet Moon Project]</t>
  </si>
  <si>
    <t>Cycles of Sin [v0.0.2] [NutJobEP]</t>
  </si>
  <si>
    <t>Koi-Koi VR: Love Blossoms [Beta] [Apricot Heart]</t>
  </si>
  <si>
    <t>Phantom Protocol [v0.1.7] [Cincinnatusgaming]</t>
  </si>
  <si>
    <t>Soles of Lakeview [Prologue] [Soniram]</t>
  </si>
  <si>
    <t>Daemons, Damsels &amp; Mythical Milfs [v0.08] [Arioh Daerthe]</t>
  </si>
  <si>
    <t>Secret Island [v0.5.4] [NocturnalDev]</t>
  </si>
  <si>
    <t>Timeless Situation [v0.2] [FighterCarpeDiem]</t>
  </si>
  <si>
    <t>Kingdom of the Dead [v0.1] [MrWicho]</t>
  </si>
  <si>
    <t>PokeSluts [v0.28] [Ebon Blite]</t>
  </si>
  <si>
    <t>Hero College: The First Year [v0.1 Beta] [BerryCake]</t>
  </si>
  <si>
    <t>Tokyo Academy [v0.5] [WaldoVN]</t>
  </si>
  <si>
    <t>The Day Of Reckoning [v0.1] [AdventureStudio]</t>
  </si>
  <si>
    <t>Hypnotizing Beautiful Sisters Who Piss Me Off [Demo] [GamesSafu]</t>
  </si>
  <si>
    <t>Griomoiras Armoria [v1.0] [MochingMochi]</t>
  </si>
  <si>
    <t>ICHIRAKU RAMEN!1 [v0.1] [AdventureStudio]</t>
  </si>
  <si>
    <t>Fleeting Starlight [Prologue v1.1] [Starstorm]</t>
  </si>
  <si>
    <t>Sex in Teyvat [v0.4] [Alpes0601]</t>
  </si>
  <si>
    <t>Slut x Family [v0.22] [Ebon Blite]</t>
  </si>
  <si>
    <t>New Titan Hentai Game [v0.0.1] [NomuraDev]</t>
  </si>
  <si>
    <t>Naruto: Konoha's Last Man [v0.1] [anorango]</t>
  </si>
  <si>
    <t>The Truth Is Nothing but Lies [v.0.5 Part 3] [Albatrozz]</t>
  </si>
  <si>
    <t>Sharing Is Caring [v0.0.9] [Fronte91]</t>
  </si>
  <si>
    <t>Lewd Impact [v0.1.2] [Nasty Frog]</t>
  </si>
  <si>
    <t>Last Tour [Final] [ASOBI]</t>
  </si>
  <si>
    <t>Platformer</t>
  </si>
  <si>
    <t>Dungeon Days [v0.05] [Buba]</t>
  </si>
  <si>
    <t>Kaos Kate's Krazy (and lewd) Adventure [Final] [OnionCuttingNinja]</t>
  </si>
  <si>
    <t>God's Gift to this wonderful world [v0.1] [grassfedlettuce]</t>
  </si>
  <si>
    <t>Jad's Halloween Special [v1.0] [JustAnotherDegenerate]</t>
  </si>
  <si>
    <t>Demonic Sexappeal [v0.4] [MochingMochi]</t>
  </si>
  <si>
    <t>Tales of a Dream Life HAREM [Ch. 2 Part1 + SEXlloween Special] [Kraguto games]</t>
  </si>
  <si>
    <t>Breaking Dreams [v0.1] [Spike Dog]</t>
  </si>
  <si>
    <t>Small Complex [v2.0] [DonTaco]</t>
  </si>
  <si>
    <t>Mate on Titan [v0.3.9] [Darknerious]</t>
  </si>
  <si>
    <t>A Season in Ecstasy [v0.1b] [Qiqi_games]</t>
  </si>
  <si>
    <t>Support [v0.2] [Bunsgames]</t>
  </si>
  <si>
    <t>Sweet Summer Harem! [v0.1.17] [Fynnegun]</t>
  </si>
  <si>
    <t>By Another Name [v0.031] [Thornwell studios]</t>
  </si>
  <si>
    <t>The King of Summer [v0.4.2 public] [No Try Studios]</t>
  </si>
  <si>
    <t>Over the Ashes [v0.1] [Psychosis]</t>
  </si>
  <si>
    <t>Seed of Might [v0.0.2] [Barabosh]</t>
  </si>
  <si>
    <t>My School Is a Harem [v0.23] [Arkleoff]</t>
  </si>
  <si>
    <t>Dissonance [v0.7 Public] [L_Elyot]</t>
  </si>
  <si>
    <t>Shakai Seikatsu [v0.5.0] [Leroy12]</t>
  </si>
  <si>
    <t>My Hentai Fantasy [v0.6.2] [Naughty Capy]</t>
  </si>
  <si>
    <t>Captains Bizarre Adventure [v1.8.6] [CaptainVerse]</t>
  </si>
  <si>
    <t>Chocolate Flavored Love [v0.1.1] [PsianDiameter]</t>
  </si>
  <si>
    <t>Brave New Isekai [v0.1.9] [Black Arts Theatre]</t>
  </si>
  <si>
    <t>Tales of Lontebia [v0.1.1] [Maniwa]</t>
  </si>
  <si>
    <t>Isekai Harem Hero [v0.1] [Eternal Drake]</t>
  </si>
  <si>
    <t>PokeLewd: For Waifus [v0.4] [Gigachill Dev]</t>
  </si>
  <si>
    <t>The Half Hero Harem [v1.0] [Night]</t>
  </si>
  <si>
    <t>Unexpected [v0.3] [NR Productions]</t>
  </si>
  <si>
    <t>Isekai Brothel [v0.23] [Isekai Brothel]</t>
  </si>
  <si>
    <t>God's Blessing on This Cursed Ring! [v0.7.5] [XXXcodedXXX]</t>
  </si>
  <si>
    <t>The Caretaker [v0.19] [IceCreamParty]</t>
  </si>
  <si>
    <t>The Ballad of the Green Valley [v0.1] [HDP Games]</t>
  </si>
  <si>
    <t>Tale of Pain [v0.3] [CosmosFantina]</t>
  </si>
  <si>
    <t>NancyGirl [v1.0] [PurplePanties]</t>
  </si>
  <si>
    <t>I Fell in Love [v1.0] [MrMictlan]</t>
  </si>
  <si>
    <t>Demon's Servant [v0.12] [Demon's Servant]</t>
  </si>
  <si>
    <t>Pornonormal Activity [v0.08] [Mad Ratz Games]</t>
  </si>
  <si>
    <t>The Grace of Fate [Demo] [Hentaku]</t>
  </si>
  <si>
    <t>Bloodsucker [v0.2.0] [Lesser]</t>
  </si>
  <si>
    <t>Cartoon Harem [v0.12] [DagetaDev]</t>
  </si>
  <si>
    <t>Together with Maya-Chan [Final] [SheableSoft]</t>
  </si>
  <si>
    <t>The Dollhouse District [Final] [DOLLHOUSE]</t>
  </si>
  <si>
    <t>Cuckold's Family [v0.1 Remake] [PinkDream]</t>
  </si>
  <si>
    <t>Scarlet Trainer [v0.2] [JYPGAMES]</t>
  </si>
  <si>
    <t>Naked Risk 3D [v1.2.3] [Brazen Games]</t>
  </si>
  <si>
    <t>School Tales [v2.7] [Kenzi Shinyuiki]</t>
  </si>
  <si>
    <t>Lover's Diary - A Psychological Drama [v0.1] [Freakbunny]</t>
  </si>
  <si>
    <t>Girls und Panzer Panzussy [v0.06] [Upforkilling]</t>
  </si>
  <si>
    <t>Honeydrop Resort [v1.0] [Dickus Games]</t>
  </si>
  <si>
    <t>Katei Kyoushi: Private tutor [Demo] [otaku_argento]</t>
  </si>
  <si>
    <t>Nurc World [Demo] [NurcGroupe]</t>
  </si>
  <si>
    <t>Femboy Cafe Shop [v0.5] [Hrenit]</t>
  </si>
  <si>
    <t>Bloom [v0.019a] [Demon Flower Studios]</t>
  </si>
  <si>
    <t>Kirina Quest [v0.01] [Miscsfm]</t>
  </si>
  <si>
    <t>Guild of Spicy Adventures [v0.52.1] [Hikkeiru]</t>
  </si>
  <si>
    <t>Shino's SP BoardGame [v0.10] [東雲Garnet]</t>
  </si>
  <si>
    <t>Mercenaries [v0.5.4] [WickedGoat]</t>
  </si>
  <si>
    <t>New Life at University [Demo 4] [Astar443]</t>
  </si>
  <si>
    <t>Black Rose [Ep.2] [Heart Productions]</t>
  </si>
  <si>
    <t>Dimension 69 [v0.9.5] [Dussop]</t>
  </si>
  <si>
    <t>Perfect Family [Update 8.1] [POHG]</t>
  </si>
  <si>
    <t>Black Rose -A Netori Story- [v0.2 Public] [WinteryEdge]</t>
  </si>
  <si>
    <t>Newlywed Twin Swordswoman and the Curse of Sexual Lust [v1.0] [karaage-tomato]</t>
  </si>
  <si>
    <t>Corrupting My Girlfriend in Another World [v0.2.5] [R1leyD4rk]</t>
  </si>
  <si>
    <t>Sorrow of Rebirth [v0.3] [Pepega]</t>
  </si>
  <si>
    <t>Lustful Sin [v0.3.7] [UnusualFishGame]</t>
  </si>
  <si>
    <t>Waiting for You [v1.0Fix] [PsianDiameter]</t>
  </si>
  <si>
    <t>Twinewood [v1.65a] [Professional Degenerate]</t>
  </si>
  <si>
    <t>Trinity Fate [v0.1] [Lazy Gem]</t>
  </si>
  <si>
    <t>Futa Fantasy - Futa NTR [v0.2] [Futa Fantasy]</t>
  </si>
  <si>
    <t>Love Castaways [v0.3.0] [SPkiller31]</t>
  </si>
  <si>
    <t>A Day with Makima [v0.1] [Momoki]</t>
  </si>
  <si>
    <t>Because you are Special [v1.0] [PsianDiameter]</t>
  </si>
  <si>
    <t>Total Submission [v0.01] [Fifty Five Games]</t>
  </si>
  <si>
    <t>The TacoVerse Tales [v1.0] [DonTaco]</t>
  </si>
  <si>
    <t>Our Last Spring [v0.1.1 Ep.1] [Rad Lord]</t>
  </si>
  <si>
    <t>Lost in You [v0.5.0] [atrX]</t>
  </si>
  <si>
    <t>Kidnapped by the Mistress [v0.13] [Isvrat]</t>
  </si>
  <si>
    <t>Day of Fate [v0.2] [FantaSee]</t>
  </si>
  <si>
    <t>No Love [v0.15 Public] [Jooh Jooh]</t>
  </si>
  <si>
    <t>OverSimp [v0.3] [OverSimp]</t>
  </si>
  <si>
    <t>Chainsaw Man: Hot Spring Travel [Final] [浅上藤奶/Fujino]</t>
  </si>
  <si>
    <t>Realm of Lust [v1.0] [Luchetty]</t>
  </si>
  <si>
    <t>Multiversal Waifus [Demo] [DAN]</t>
  </si>
  <si>
    <t>Agent 672 [v0.1] [GES Studios]</t>
  </si>
  <si>
    <t>Breed Laboratory [v0.30] [Moeymoey]</t>
  </si>
  <si>
    <t>Love Odyssey [v0.0.1b] [Liquid Dream]</t>
  </si>
  <si>
    <t>Hentai Fighters VR [v1.2.0] [muhuhu]</t>
  </si>
  <si>
    <t>Rise of Corruption [v0.1.7] [Umarius]</t>
  </si>
  <si>
    <t>Projekt Moon [Ch. 3 Part 1] [The Magical Gurl]</t>
  </si>
  <si>
    <t>The Lewd Corruption of the Heaven [v0.1.0 Alpha] [Sedhaild]</t>
  </si>
  <si>
    <t>Futa Concoction [Ch. 2 Part 4] [Faust Seiker]</t>
  </si>
  <si>
    <t>Pokestars [v0.8] [Shikashi Developer]</t>
  </si>
  <si>
    <t>Space Gals [v0.2] [Assmodeus Unlimited Lewd Works]</t>
  </si>
  <si>
    <t>Her Fallen: A Netori Story [v0.31 BETA] [Warrior Novels]</t>
  </si>
  <si>
    <t>Succubus Nightmare 3 [Final] [Animism]</t>
  </si>
  <si>
    <t>Wolf RPG</t>
  </si>
  <si>
    <t>Fate Grand Flat [v2] [FateGrandFlat]</t>
  </si>
  <si>
    <t>Paradise Island [v0.1a] [Sweet Cherry]</t>
  </si>
  <si>
    <t>Sword Art Online: The Trap of Breath Concealed Magic [Part 2 v0.1] [ 浅上藤奶/Fujino]</t>
  </si>
  <si>
    <t>My Lust Academy: PoS [v0.1b] [Black Party]</t>
  </si>
  <si>
    <t>Stolen Bliss [v0.1] [Carnelian]</t>
  </si>
  <si>
    <t>IsekaiLust [v1.0.4 Alpha] [LustArchitect]</t>
  </si>
  <si>
    <t>Keepers 2 : Shattered Realms [v.0.2.5 Ch.3] [Lumari]</t>
  </si>
  <si>
    <t>King of Corpses [Update 2 Part 1] [Good Luck AyD33]</t>
  </si>
  <si>
    <t>CaptainVRse [v0.7] [TranquilHaze]</t>
  </si>
  <si>
    <t>Beach Fuck with Mya [Final] [thatcombatwombat]</t>
  </si>
  <si>
    <t>Singularity [v0.20b] [ZeroSG]</t>
  </si>
  <si>
    <t>Your RWBY Fantasy [Final] [Night]</t>
  </si>
  <si>
    <t>Detached [v0.6.1] [Scruffles]</t>
  </si>
  <si>
    <t>Rebooted Life Demo [v0.05 Demo] [Cupido2D]</t>
  </si>
  <si>
    <t>Feminist World [v0.3] [SaltySai]</t>
  </si>
  <si>
    <t>Eleventh Hour [v1.0] [RaaVe]</t>
  </si>
  <si>
    <t>Serial:Code [v0.4B] [Kurosa.wa]</t>
  </si>
  <si>
    <t>GRADE-A BULLY [v1.0] [Duckie]</t>
  </si>
  <si>
    <t>Neon Eve [v0.6.0] [Dateless]</t>
  </si>
  <si>
    <t>Make It Home [Final] [Zelp]</t>
  </si>
  <si>
    <t>The Beginning of End [v0.1] [The Art Of Suicide Games]</t>
  </si>
  <si>
    <t>Desktop Garage Kit [v1.3.1] [1UP Games]</t>
  </si>
  <si>
    <t>Cold Comforts [v0.1b] [Blissful End Games]</t>
  </si>
  <si>
    <t>My Sweet Time In College [v0.0.2] [kaph]</t>
  </si>
  <si>
    <t>Living with a Houri [v0.1] [PsianDiameter]</t>
  </si>
  <si>
    <t>Blossom Valley Manager [v0.1.0] [DragonMommyRhea]</t>
  </si>
  <si>
    <t>Fall Girls [v1.1] [djweish]</t>
  </si>
  <si>
    <t>Chosen Destiny [v0.4] [Chosen Destiny]</t>
  </si>
  <si>
    <t>Routes into the Tomorrow [v0.01] [Voytsik]</t>
  </si>
  <si>
    <t>Harem RPG Remastered [3m1] [Fylokon Games]</t>
  </si>
  <si>
    <t>Esc-Wars [v1.0] [Marv]</t>
  </si>
  <si>
    <t>A Life in Paradise [v0.2] [Alifeinparadise]</t>
  </si>
  <si>
    <t>Dating Game [v1.0] [Sakayanagi2137]</t>
  </si>
  <si>
    <t>Step By Step [v0.1] [PsianDiameter]</t>
  </si>
  <si>
    <t>Life in Alphaville [Halloween Special] [GameleaksStudio]</t>
  </si>
  <si>
    <t>Najima Island [v0.7] [Velzies]</t>
  </si>
  <si>
    <t>Kamiyama Ero Doki School [v1.0] [EROUNIC]</t>
  </si>
  <si>
    <t>Rental BoyFriend [v0.1] [Leo's AVN]</t>
  </si>
  <si>
    <t>Sweet Beach Holidays [Final] [Surf Pixels]</t>
  </si>
  <si>
    <t>Roxanne's ENF game [v0.1.5] [uwuzaki]</t>
  </si>
  <si>
    <t>Neko Doll [Final] [Neko Game]</t>
  </si>
  <si>
    <t>My Perfect Sister [v0.230b] [LulluDev]</t>
  </si>
  <si>
    <t>Divine Providence Fall [v0.5] [Ulith]</t>
  </si>
  <si>
    <t>Tranquility [v1.0.2] [RichitoRenka]</t>
  </si>
  <si>
    <t>Succubus' Harem [v0.15] [Bazaar]</t>
  </si>
  <si>
    <t>Shared Fate [v0.1] [Foxfictioneer]</t>
  </si>
  <si>
    <t>Futa Fantasy [v0.5] [Futa Fantasy]</t>
  </si>
  <si>
    <t>Hentai Simulator [Final] [Spider]</t>
  </si>
  <si>
    <t>Hemsworth manor [v0.01] [Valhalla's Lord]</t>
  </si>
  <si>
    <t>Love Maximum [v0.12] [PinkHeartGamez]</t>
  </si>
  <si>
    <t>Depraved Town: Forgotten Memories Remake [v0.1] [JustAnotherDegenerate]</t>
  </si>
  <si>
    <t>Paper Dreams [ V1.0 Early Acces][TOWER GREEN SHIELD STUDIO]</t>
  </si>
  <si>
    <t>LUST WARRIOR [2023-04-26] [myTGD]</t>
  </si>
  <si>
    <t>Due to My New Situation, I Have to Corrupt My Friend's Harem! [v0.22] [Warrior Novels]</t>
  </si>
  <si>
    <t>All Faded [Demo] [Grimdeity]</t>
  </si>
  <si>
    <t>Genuine Hero [v0.18.01] [ElTomaso]</t>
  </si>
  <si>
    <t>Short Stories (NTR) [Chp.1] [Potatoes and Dragons]</t>
  </si>
  <si>
    <t>My Escort Company [Final] [NSFW18 Games]</t>
  </si>
  <si>
    <t>Traveler Inn Tales [v0.85b] [Star Tree Games]</t>
  </si>
  <si>
    <t>Something Better [v0.1.8] [Detarco]</t>
  </si>
  <si>
    <t>Hyperdeep [v0.5] [Hyper]</t>
  </si>
  <si>
    <t>Trinity Fate Prologue [v0.1] [Lazy Gem]</t>
  </si>
  <si>
    <t>Just Futanari [Demo] [GamesSafu]</t>
  </si>
  <si>
    <t>Virtual Reality</t>
  </si>
  <si>
    <t>Scathach Game Prologue [Final] [Fujino]</t>
  </si>
  <si>
    <t>Fate Grand NTR [Update 4] [PinkDream]</t>
  </si>
  <si>
    <t>Those Golden Days [v0.1] [My Big Little Brother]</t>
  </si>
  <si>
    <t>My Widow Stepmother [Final] [Taboo Collection]</t>
  </si>
  <si>
    <t>The Minimum Project [v0.3] [Intervention]</t>
  </si>
  <si>
    <t>Pokémon Xnap [v1.0] [Luchetty]</t>
  </si>
  <si>
    <t>Harem Party Adventures [v0.6] [Assmodeus Unlimited Lewd Works]</t>
  </si>
  <si>
    <t>Amy's House [v0.0.2.3] [My Magical Harem]</t>
  </si>
  <si>
    <t>The Primordial [v0.02b] [FunkyD]</t>
  </si>
  <si>
    <t>My Neighbor's Lonely Wife [Final] [Yasaniki]</t>
  </si>
  <si>
    <t>Shino's SP BoardGame [v0.21] [東雲Garnet]</t>
  </si>
  <si>
    <t>Her Fall [Chapter 7] [TwizSin]</t>
  </si>
  <si>
    <t>The Harem of the Demon Lord [v0.2.0] [LordPatrick]</t>
  </si>
  <si>
    <t>My Private Tutor DATING SIM [CH1.016] [KintaroDev]</t>
  </si>
  <si>
    <t>The Last Necromancer [v3.4 hotfix] [Bandai_)))))]</t>
  </si>
  <si>
    <t>Perfect Pitch [v0.7] [soundsommelier]</t>
  </si>
  <si>
    <t>Daemons, Damsels &amp; Mythical Milfs Remastered [v0.05] [Arioh Daerthe]</t>
  </si>
  <si>
    <t>AI</t>
  </si>
  <si>
    <t>I love Woman [v0.1] [GamesOfAldo]</t>
  </si>
  <si>
    <t>Destinies InterTwined [Teaser] [Kyno]</t>
  </si>
  <si>
    <t>Liberty City [Demo] [Leo's AVN]</t>
  </si>
  <si>
    <t>Lustful College [v0.21a] [Tinkel Studios]</t>
  </si>
  <si>
    <t>Salvation in Nightmare [v0.4.1] [FunkyMunke]</t>
  </si>
  <si>
    <t>Aki Bonbon [v0.14] [tomboyDrive]</t>
  </si>
  <si>
    <t>Charming Waitress [v0.1] [Hakunak]</t>
  </si>
  <si>
    <t>Jade Chamber Sunshine [v0.13] [NorKoala]</t>
  </si>
  <si>
    <t>Sweet Little Mia [v1.0] [ProteccMaster]</t>
  </si>
  <si>
    <t>Through Shattered Eyes [v0.5] [oolycio]</t>
  </si>
  <si>
    <t>Lusting My Religion [v0.7] [Pytem]</t>
  </si>
  <si>
    <t>Dezato Wasteland [v0.0.2] [Midnight-A]</t>
  </si>
  <si>
    <t>Chaos of Corruption [v1.0] [SlashXR]</t>
  </si>
  <si>
    <t>Neko Desktop Pet (18+) [v1.1] [satyrking]</t>
  </si>
  <si>
    <t>Spanking Ara [v0.11] [Spankbot]</t>
  </si>
  <si>
    <t>Record of Asturion War Redux [v1.02] [Harold]</t>
  </si>
  <si>
    <t>Headpats &amp; Handholding [v0.06] [Insomnimaniac Games]</t>
  </si>
  <si>
    <t>$$$ Welcome to Alabama! It's Legal Bro! $$$ [v0.2.2] [Black Arts Theatre]</t>
  </si>
  <si>
    <t>Date an Angel [v0.1] [urimusha]</t>
  </si>
  <si>
    <t>Loop Train - Play pranks on a girl with a Molestation App! [v1.00] [Mistilteinn]</t>
  </si>
  <si>
    <t>KonoSuba - The Harem Adventures [v1.5b] [EmperoXXX Anime]</t>
  </si>
  <si>
    <t>Academy: Live! [v0.02 Alpha] [passhonQ]</t>
  </si>
  <si>
    <t>Dungeon of Meat [v1.05] [pompompain]</t>
  </si>
  <si>
    <t>New Friend Senpai [Demo] [Labatut]</t>
  </si>
  <si>
    <t>A Day by the Sea [v1.00] [PurplePanties]</t>
  </si>
  <si>
    <t>Cats in Heat - Convenience Coworkers [Final] [Artoonu]</t>
  </si>
  <si>
    <t>5 Stars Cops [Beta v0.5] [Frozen Haze]</t>
  </si>
  <si>
    <t>My Teacher Is Bankrupt [v0.1] [ADM Studios]</t>
  </si>
  <si>
    <t>Lusty Help [v0.1] [Hicharlotte]</t>
  </si>
  <si>
    <t>The Legend of the Hero of Edoriam [v0.1.3] [Pyrthenix]</t>
  </si>
  <si>
    <t>Naruto Trainer [v0.5] [Luchetty]</t>
  </si>
  <si>
    <t>The Seam [v0.1.2b] [GoodbyeHappiness]</t>
  </si>
  <si>
    <t>Brothel House [v0.0.2] [LustfulArt]</t>
  </si>
  <si>
    <t>Moemon Isekai [V 0.2] [Salek]</t>
  </si>
  <si>
    <t>Tropicali [v0.5] [Story Anon]</t>
  </si>
  <si>
    <t>Bloom War [v0.13] [ATH Games]</t>
  </si>
  <si>
    <t>Demon Wake [v1.0] [Rebel Morgan Gaming]</t>
  </si>
  <si>
    <t>Another World [v1.2.0] [Maelstrom]</t>
  </si>
  <si>
    <t>Back to the Roots [v0.5c-public] [The Priceless Beam]</t>
  </si>
  <si>
    <t>pic_intruder [v0.1 - Part I] [LUNA]</t>
  </si>
  <si>
    <t>Sakura Segment [v1.0] [Ulimworks]</t>
  </si>
  <si>
    <t>Cursed Love [v0.2.6] [Ojot]</t>
  </si>
  <si>
    <t>Naughtyville Town Revelation [v0.4] [Droid 341-b]</t>
  </si>
  <si>
    <t>Sex Rhythm: Onsen [v1.01] [NekumaSoft]</t>
  </si>
  <si>
    <t>Dream On! [Ep. 1] [Bonehead Games]</t>
  </si>
  <si>
    <t>Love and Evil Things [v0.0.1] [Petals]</t>
  </si>
  <si>
    <t>Pokegirls SEX Adventure [Ch. 1] [Kraguto Games]</t>
  </si>
  <si>
    <t>Spirit Lover [v0.6 Public] [Shousaka94]</t>
  </si>
  <si>
    <t>Control the Town [v1.0] [DOLLHOUSE]</t>
  </si>
  <si>
    <t>Another World Another Adventures [v0.1.1] [S.I.T. Studio]</t>
  </si>
  <si>
    <t>Escape From The Nest of The Kissing Succubi [v1.00] [Lights, Camera, Action]</t>
  </si>
  <si>
    <t>Futa's World of NTR [v1.1.3] [ScarletGames]</t>
  </si>
  <si>
    <t>Love 404 [v.0.1.1b] [IVVVI]</t>
  </si>
  <si>
    <t>The Halo Project [v0.06 (Tech Demo)] [hushhushgames]</t>
  </si>
  <si>
    <t>Biological Lust [v0.1] [Black_Dust]</t>
  </si>
  <si>
    <t>Rent a Room [v1.0] [SpunkyAmbassador]</t>
  </si>
  <si>
    <t>Bitter Harvest: A Revengeful Heart [Prologue] [Kalvarist]</t>
  </si>
  <si>
    <t>Booty Hunter [ALPHA 02] [TheAlleyGuy]</t>
  </si>
  <si>
    <t>Eldritch Highschool [v0.1] [Drakenn]</t>
  </si>
  <si>
    <t>Reckless Love [v0.0.1] [RecentlyLuckyMan]</t>
  </si>
  <si>
    <t>My Naughty Neighbor [v1.0] [OnionCuttingNinja]</t>
  </si>
  <si>
    <t>The Last Hero's Darkest Quest [v0.0.1] [ISecretDream]</t>
  </si>
  <si>
    <t>The Siren's Song [v0.42] [maiie]</t>
  </si>
  <si>
    <t>Animeverse Island [v0.19] [Pink Gum]</t>
  </si>
  <si>
    <t>Heroine Rumble 2 [v0.13] [Enlit3d]</t>
  </si>
  <si>
    <t>SAO [v0.1.5] [ProjectSAO]</t>
  </si>
  <si>
    <t>My Pervy Poltergeist [v0.2] [Poopcicle]</t>
  </si>
  <si>
    <t>SUCCUMB ~What My Martial Artist Fiancee Really Desires~ [v1.01] [karaage-tomato]</t>
  </si>
  <si>
    <t>BreedTown 3 [Demo] [Thatcombatwombat]</t>
  </si>
  <si>
    <t>Welcome to The Friendship Club! [v0.1] [ZorniteB]</t>
  </si>
  <si>
    <t>Lusty Help [v0.2] [Hicharlotte]</t>
  </si>
  <si>
    <t>Waifu Dreams City [v0.9.5.6] [Waifu Dreams Studio]</t>
  </si>
  <si>
    <t>Lust n Farm [1.05b] [Bewolftreize]</t>
  </si>
  <si>
    <t>Sakura's Chapter [v1.0] [Fujino]</t>
  </si>
  <si>
    <t>Fate/Grand Steal [v0.1 Intro] [dinamite157]</t>
  </si>
  <si>
    <t>Leopan's Halloween Party [v1.0] [Upforkilling]</t>
  </si>
  <si>
    <t>Student of Love [v0.1.0] [SammieVN]</t>
  </si>
  <si>
    <t>Willow Blues [v3.0] [Project Oak]</t>
  </si>
  <si>
    <t>My Office Adventures Reunion [EP01R1] [The Coder]</t>
  </si>
  <si>
    <t>Battle Fuck Simulator [v1.2] [bejiya]</t>
  </si>
  <si>
    <t>New Lives, New Pleasures [v0.0.1] [Guz]</t>
  </si>
  <si>
    <t>Bathroom Therapy [v1.0] [Wayward Void God]</t>
  </si>
  <si>
    <t>Harem Wars [v0.1.3 Bugfix] [Lightrunner]</t>
  </si>
  <si>
    <t>Cafe Maid - Hentai Edition [Early Access] [Woop Media]</t>
  </si>
  <si>
    <t>Lewd Cashier [v1.2] [Den Hammer]</t>
  </si>
  <si>
    <t>New Tail [v0.1] [Kaind]</t>
  </si>
  <si>
    <t>Path To Discovery [v0.1] [CelestialSpider]</t>
  </si>
  <si>
    <t>Sport and Lust [v0.1] [Skinny Rat Studio]</t>
  </si>
  <si>
    <t>Space Jester [v0.01] [Jooh Jooh]</t>
  </si>
  <si>
    <t>Reverse Headscissors &amp; Facesit [v1.2] [Starvy]</t>
  </si>
  <si>
    <t>Ovulating Maiden [v0.20b] [pizzacat]</t>
  </si>
  <si>
    <t>Beyond Lust [v0.1.1] [headlessnewt]</t>
  </si>
  <si>
    <t>To Lala-RU [Prologue] [Project Oak]</t>
  </si>
  <si>
    <t>Kawaii Slime Arena [2022-06-07] [Mitsuki Game Studio]</t>
  </si>
  <si>
    <t>Sweet Nightclub [Final] [Surf Pixels]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</si>
</sst>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12">
    <font>
      <sz val="10.0"/>
      <color rgb="FF000000"/>
      <name val="Arial"/>
      <scheme val="minor"/>
    </font>
    <font>
      <color theme="1"/>
      <name val="Arial"/>
      <scheme val="minor"/>
    </font>
    <font>
      <b/>
      <u/>
      <sz val="11.0"/>
      <color theme="1"/>
      <name val="Arial"/>
      <scheme val="minor"/>
    </font>
    <font/>
    <font>
      <b/>
      <u/>
      <sz val="11.0"/>
      <color theme="1"/>
      <name val="Arial"/>
      <scheme val="minor"/>
    </font>
    <font>
      <u/>
      <sz val="11.0"/>
      <color theme="1"/>
      <name val="Arial"/>
      <scheme val="minor"/>
    </font>
    <font>
      <b/>
      <u/>
      <color rgb="FF1155CC"/>
    </font>
    <font>
      <b/>
      <color theme="1"/>
      <name val="Arial"/>
      <scheme val="minor"/>
    </font>
    <font>
      <b/>
      <u/>
      <color rgb="FF0000FF"/>
    </font>
    <font>
      <color rgb="FF000000"/>
      <name val="Arial"/>
    </font>
    <font>
      <color theme="1"/>
      <name val="Lato"/>
    </font>
    <font>
      <color theme="1"/>
      <name val="Arial"/>
    </font>
  </fonts>
  <fills count="24">
    <fill>
      <patternFill patternType="none"/>
    </fill>
    <fill>
      <patternFill patternType="lightGray"/>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FFFFF"/>
        <bgColor rgb="FFFFFFFF"/>
      </patternFill>
    </fill>
    <fill>
      <patternFill patternType="solid">
        <fgColor theme="5"/>
        <bgColor theme="5"/>
      </patternFill>
    </fill>
    <fill>
      <patternFill patternType="solid">
        <fgColor rgb="FFE06666"/>
        <bgColor rgb="FFE06666"/>
      </patternFill>
    </fill>
    <fill>
      <patternFill patternType="solid">
        <fgColor rgb="FFF6B26B"/>
        <bgColor rgb="FFF6B26B"/>
      </patternFill>
    </fill>
    <fill>
      <patternFill patternType="solid">
        <fgColor theme="9"/>
        <bgColor theme="9"/>
      </patternFill>
    </fill>
    <fill>
      <patternFill patternType="solid">
        <fgColor rgb="FF3C78D8"/>
        <bgColor rgb="FF3C78D8"/>
      </patternFill>
    </fill>
    <fill>
      <patternFill patternType="solid">
        <fgColor rgb="FFB45F06"/>
        <bgColor rgb="FFB45F06"/>
      </patternFill>
    </fill>
    <fill>
      <patternFill patternType="solid">
        <fgColor rgb="FFEAD1DC"/>
        <bgColor rgb="FFEAD1DC"/>
      </patternFill>
    </fill>
    <fill>
      <patternFill patternType="solid">
        <fgColor rgb="FFFF0000"/>
        <bgColor rgb="FFFF0000"/>
      </patternFill>
    </fill>
    <fill>
      <patternFill patternType="solid">
        <fgColor rgb="FFFF00FF"/>
        <bgColor rgb="FFFF00FF"/>
      </patternFill>
    </fill>
    <fill>
      <patternFill patternType="solid">
        <fgColor theme="6"/>
        <bgColor theme="6"/>
      </patternFill>
    </fill>
    <fill>
      <patternFill patternType="solid">
        <fgColor rgb="FFD9D2E9"/>
        <bgColor rgb="FFD9D2E9"/>
      </patternFill>
    </fill>
    <fill>
      <patternFill patternType="solid">
        <fgColor rgb="FFFFFF00"/>
        <bgColor rgb="FFFFFF00"/>
      </patternFill>
    </fill>
    <fill>
      <patternFill patternType="solid">
        <fgColor rgb="FF660000"/>
        <bgColor rgb="FF660000"/>
      </patternFill>
    </fill>
    <fill>
      <patternFill patternType="solid">
        <fgColor theme="8"/>
        <bgColor theme="8"/>
      </patternFill>
    </fill>
    <fill>
      <patternFill patternType="solid">
        <fgColor rgb="FF4A86E8"/>
        <bgColor rgb="FF4A86E8"/>
      </patternFill>
    </fill>
    <fill>
      <patternFill patternType="solid">
        <fgColor theme="7"/>
        <bgColor theme="7"/>
      </patternFill>
    </fill>
    <fill>
      <patternFill patternType="solid">
        <fgColor rgb="FFFF6D01"/>
        <bgColor rgb="FFFF6D01"/>
      </patternFill>
    </fill>
    <fill>
      <patternFill patternType="solid">
        <fgColor rgb="FF4285F4"/>
        <bgColor rgb="FF4285F4"/>
      </patternFill>
    </fill>
  </fills>
  <borders count="14">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Fill="1" applyFont="1"/>
    <xf borderId="1" fillId="2" fontId="1" numFmtId="0" xfId="0" applyAlignment="1" applyBorder="1" applyFill="1" applyFont="1">
      <alignment horizontal="center" vertical="center"/>
    </xf>
    <xf borderId="0" fillId="0" fontId="1" numFmtId="0" xfId="0" applyFont="1"/>
    <xf borderId="1" fillId="2" fontId="2" numFmtId="164" xfId="0" applyAlignment="1" applyBorder="1" applyFill="1" applyFont="1" applyNumberFormat="1">
      <alignment horizontal="center" readingOrder="0" vertical="center"/>
    </xf>
    <xf borderId="0" fillId="0" fontId="1" numFmtId="0" xfId="0" applyAlignment="1" applyFont="1">
      <alignment readingOrder="0"/>
    </xf>
    <xf borderId="2" fillId="2" fontId="1" numFmtId="0" xfId="0" applyAlignment="1" applyBorder="1" applyFill="1" applyFont="1">
      <alignment horizontal="center" readingOrder="0" vertical="center"/>
    </xf>
    <xf borderId="0" fillId="0" fontId="1" numFmtId="2" xfId="0" applyFont="1" applyNumberFormat="1"/>
    <xf borderId="3" fillId="3" fontId="1" numFmtId="0" xfId="0" applyAlignment="1" applyBorder="1" applyFill="1" applyFont="1">
      <alignment readingOrder="0"/>
    </xf>
    <xf borderId="4" fillId="0" fontId="3" numFmtId="0" xfId="0" applyBorder="1" applyFont="1"/>
    <xf borderId="1" fillId="2" fontId="4" numFmtId="0" xfId="0" applyAlignment="1" applyBorder="1" applyFill="1" applyFont="1">
      <alignment horizontal="center" readingOrder="0" vertical="center"/>
    </xf>
    <xf borderId="5" fillId="0" fontId="3" numFmtId="0" xfId="0" applyBorder="1" applyFont="1"/>
    <xf borderId="6" fillId="0" fontId="3" numFmtId="0" xfId="0" applyBorder="1" applyFont="1"/>
    <xf borderId="3" fillId="2" fontId="1" numFmtId="0" xfId="0" applyAlignment="1" applyBorder="1" applyFill="1" applyFont="1">
      <alignment readingOrder="0"/>
    </xf>
    <xf borderId="7" fillId="0" fontId="3" numFmtId="0" xfId="0" applyBorder="1" applyFont="1"/>
    <xf borderId="1" fillId="4" fontId="5" numFmtId="0" xfId="0" applyAlignment="1" applyBorder="1" applyFill="1" applyFont="1">
      <alignment horizontal="center" readingOrder="0" vertical="center"/>
    </xf>
    <xf borderId="1" fillId="4" fontId="1" numFmtId="0" xfId="0" applyAlignment="1" applyBorder="1" applyFill="1" applyFont="1">
      <alignment horizontal="center" readingOrder="0" vertical="center"/>
    </xf>
    <xf borderId="0" fillId="4" fontId="1" numFmtId="0" xfId="0" applyAlignment="1" applyFill="1" applyFont="1">
      <alignment horizontal="center" readingOrder="0" vertical="center"/>
    </xf>
    <xf borderId="3" fillId="5" fontId="1" numFmtId="0" xfId="0" applyAlignment="1" applyBorder="1" applyFill="1" applyFont="1">
      <alignment readingOrder="0"/>
    </xf>
    <xf borderId="0" fillId="4" fontId="1" numFmtId="0" xfId="0" applyAlignment="1" applyFill="1" applyFont="1">
      <alignment horizontal="right" vertical="center"/>
    </xf>
    <xf borderId="0" fillId="6" fontId="1" numFmtId="0" xfId="0" applyAlignment="1" applyFill="1" applyFont="1">
      <alignment horizontal="center" vertical="center"/>
    </xf>
    <xf borderId="8" fillId="2" fontId="1" numFmtId="0" xfId="0" applyAlignment="1" applyBorder="1" applyFill="1" applyFont="1">
      <alignment horizontal="center" readingOrder="0" vertical="center"/>
    </xf>
    <xf borderId="0" fillId="2" fontId="1" numFmtId="164" xfId="0" applyAlignment="1" applyFill="1" applyFont="1" applyNumberFormat="1">
      <alignment horizontal="center" readingOrder="0" vertical="center"/>
    </xf>
    <xf borderId="0" fillId="2" fontId="1" numFmtId="0" xfId="0" applyAlignment="1" applyFill="1" applyFont="1">
      <alignment horizontal="left" readingOrder="0" vertical="center"/>
    </xf>
    <xf borderId="3" fillId="7" fontId="1" numFmtId="0" xfId="0" applyAlignment="1" applyBorder="1" applyFill="1" applyFont="1">
      <alignment readingOrder="0"/>
    </xf>
    <xf borderId="3" fillId="8" fontId="1" numFmtId="0" xfId="0" applyAlignment="1" applyBorder="1" applyFill="1" applyFont="1">
      <alignment readingOrder="0"/>
    </xf>
    <xf borderId="0" fillId="2" fontId="6" numFmtId="0" xfId="0" applyAlignment="1" applyFill="1" applyFont="1">
      <alignment horizontal="center" readingOrder="0" vertical="center"/>
    </xf>
    <xf borderId="0" fillId="2" fontId="1" numFmtId="0" xfId="0" applyAlignment="1" applyFill="1" applyFont="1">
      <alignment horizontal="center" readingOrder="0" vertical="center"/>
    </xf>
    <xf borderId="0" fillId="4" fontId="1" numFmtId="0" xfId="0" applyAlignment="1" applyFill="1" applyFont="1">
      <alignment horizontal="center" vertical="center"/>
    </xf>
    <xf borderId="3" fillId="9" fontId="1" numFmtId="0" xfId="0" applyAlignment="1" applyBorder="1" applyFill="1" applyFont="1">
      <alignment readingOrder="0"/>
    </xf>
    <xf borderId="0" fillId="2" fontId="1" numFmtId="165" xfId="0" applyAlignment="1" applyFill="1" applyFont="1" applyNumberFormat="1">
      <alignment horizontal="center" readingOrder="0" vertical="center"/>
    </xf>
    <xf borderId="3" fillId="10" fontId="1" numFmtId="0" xfId="0" applyAlignment="1" applyBorder="1" applyFill="1" applyFont="1">
      <alignment readingOrder="0"/>
    </xf>
    <xf borderId="3" fillId="11" fontId="1" numFmtId="0" xfId="0" applyAlignment="1" applyBorder="1" applyFill="1" applyFont="1">
      <alignment readingOrder="0"/>
    </xf>
    <xf borderId="0" fillId="3" fontId="1" numFmtId="165" xfId="0" applyAlignment="1" applyFill="1" applyFont="1" applyNumberFormat="1">
      <alignment horizontal="center" readingOrder="0" vertical="center"/>
    </xf>
    <xf borderId="0" fillId="4" fontId="1" numFmtId="0" xfId="0" applyAlignment="1" applyFill="1" applyFont="1">
      <alignment horizontal="right" readingOrder="0" vertical="center"/>
    </xf>
    <xf borderId="3" fillId="12" fontId="1" numFmtId="0" xfId="0" applyAlignment="1" applyBorder="1" applyFill="1" applyFont="1">
      <alignment readingOrder="0"/>
    </xf>
    <xf borderId="3" fillId="0" fontId="1" numFmtId="0" xfId="0" applyAlignment="1" applyBorder="1" applyFont="1">
      <alignment readingOrder="0"/>
    </xf>
    <xf borderId="3" fillId="13" fontId="1" numFmtId="0" xfId="0" applyAlignment="1" applyBorder="1" applyFill="1" applyFont="1">
      <alignment readingOrder="0"/>
    </xf>
    <xf borderId="3" fillId="14" fontId="1" numFmtId="0" xfId="0" applyAlignment="1" applyBorder="1" applyFill="1" applyFont="1">
      <alignment readingOrder="0"/>
    </xf>
    <xf borderId="0" fillId="2" fontId="1" numFmtId="0" xfId="0" applyAlignment="1" applyFill="1" applyFont="1">
      <alignment horizontal="left" readingOrder="0" vertical="center"/>
    </xf>
    <xf borderId="3" fillId="15" fontId="1" numFmtId="0" xfId="0" applyAlignment="1" applyBorder="1" applyFill="1" applyFont="1">
      <alignment readingOrder="0"/>
    </xf>
    <xf borderId="3" fillId="16" fontId="1" numFmtId="0" xfId="0" applyAlignment="1" applyBorder="1" applyFill="1" applyFont="1">
      <alignment readingOrder="0"/>
    </xf>
    <xf borderId="0" fillId="6" fontId="1" numFmtId="0" xfId="0" applyAlignment="1" applyFill="1" applyFont="1">
      <alignment horizontal="center" readingOrder="0" vertical="center"/>
    </xf>
    <xf borderId="3" fillId="17" fontId="1" numFmtId="0" xfId="0" applyAlignment="1" applyBorder="1" applyFill="1" applyFont="1">
      <alignment readingOrder="0"/>
    </xf>
    <xf borderId="3" fillId="18" fontId="1" numFmtId="0" xfId="0" applyAlignment="1" applyBorder="1" applyFill="1" applyFont="1">
      <alignment readingOrder="0"/>
    </xf>
    <xf borderId="9" fillId="2" fontId="1" numFmtId="0" xfId="0" applyAlignment="1" applyBorder="1" applyFill="1" applyFont="1">
      <alignment horizontal="left" readingOrder="0" shrinkToFit="0" vertical="center" wrapText="1"/>
    </xf>
    <xf borderId="10" fillId="0" fontId="3" numFmtId="0" xfId="0" applyBorder="1" applyFont="1"/>
    <xf borderId="11" fillId="0" fontId="3" numFmtId="0" xfId="0" applyBorder="1" applyFont="1"/>
    <xf borderId="0" fillId="2" fontId="1" numFmtId="0" xfId="0" applyAlignment="1" applyFill="1" applyFont="1">
      <alignment horizontal="left" vertical="center"/>
    </xf>
    <xf borderId="12" fillId="0" fontId="3" numFmtId="0" xfId="0" applyBorder="1" applyFont="1"/>
    <xf borderId="1" fillId="0" fontId="3" numFmtId="0" xfId="0" applyBorder="1" applyFont="1"/>
    <xf borderId="13" fillId="0" fontId="3" numFmtId="0" xfId="0" applyBorder="1" applyFont="1"/>
    <xf borderId="2" fillId="2" fontId="7" numFmtId="0" xfId="0" applyAlignment="1" applyBorder="1" applyFill="1" applyFont="1">
      <alignment horizontal="center" readingOrder="0" vertical="center"/>
    </xf>
    <xf borderId="9" fillId="2" fontId="7" numFmtId="0" xfId="0" applyAlignment="1" applyBorder="1" applyFill="1" applyFont="1">
      <alignment horizontal="left" readingOrder="0" shrinkToFit="0" vertical="center" wrapText="1"/>
    </xf>
    <xf borderId="8" fillId="2" fontId="1" numFmtId="0" xfId="0" applyBorder="1" applyFill="1" applyFont="1"/>
    <xf borderId="3" fillId="2" fontId="1" numFmtId="0" xfId="0" applyBorder="1" applyFill="1" applyFont="1"/>
    <xf borderId="3" fillId="2" fontId="1" numFmtId="0" xfId="0" applyAlignment="1" applyBorder="1" applyFill="1" applyFont="1">
      <alignment readingOrder="0" vertical="center"/>
    </xf>
    <xf borderId="2" fillId="2" fontId="7" numFmtId="0" xfId="0" applyAlignment="1" applyBorder="1" applyFill="1" applyFont="1">
      <alignment horizontal="center" readingOrder="0" shrinkToFit="0" vertical="center" wrapText="1"/>
    </xf>
    <xf borderId="9" fillId="2" fontId="1" numFmtId="0" xfId="0" applyAlignment="1" applyBorder="1" applyFill="1" applyFont="1">
      <alignment readingOrder="0" vertical="center"/>
    </xf>
    <xf borderId="10" fillId="2" fontId="1" numFmtId="0" xfId="0" applyAlignment="1" applyBorder="1" applyFill="1" applyFont="1">
      <alignment readingOrder="0" vertical="center"/>
    </xf>
    <xf borderId="1" fillId="2" fontId="1" numFmtId="0" xfId="0" applyAlignment="1" applyBorder="1" applyFill="1" applyFont="1">
      <alignment readingOrder="0" vertical="center"/>
    </xf>
    <xf borderId="0" fillId="2" fontId="8" numFmtId="0" xfId="0" applyAlignment="1" applyFill="1" applyFont="1">
      <alignment horizontal="center" readingOrder="0" vertical="center"/>
    </xf>
    <xf quotePrefix="1" borderId="0" fillId="4" fontId="1" numFmtId="0" xfId="0" applyAlignment="1" applyFill="1" applyFont="1">
      <alignment horizontal="center" readingOrder="0" vertical="center"/>
    </xf>
    <xf borderId="0" fillId="19" fontId="1" numFmtId="0" xfId="0" applyAlignment="1" applyFill="1" applyFont="1">
      <alignment horizontal="center" readingOrder="0" vertical="center"/>
    </xf>
    <xf borderId="0" fillId="20" fontId="1" numFmtId="0" xfId="0" applyAlignment="1" applyFill="1" applyFont="1">
      <alignment horizontal="center" readingOrder="0" vertical="center"/>
    </xf>
    <xf borderId="0" fillId="6" fontId="1" numFmtId="0" xfId="0" applyAlignment="1" applyFill="1" applyFont="1">
      <alignment horizontal="left" readingOrder="0" vertical="center"/>
    </xf>
    <xf borderId="0" fillId="2" fontId="1" numFmtId="0" xfId="0" applyAlignment="1" applyFill="1" applyFont="1">
      <alignment horizontal="center" vertical="center"/>
    </xf>
    <xf borderId="0" fillId="2" fontId="9" numFmtId="0" xfId="0" applyAlignment="1" applyFill="1" applyFont="1">
      <alignment horizontal="center" readingOrder="0" vertical="center"/>
    </xf>
    <xf borderId="0" fillId="21" fontId="1" numFmtId="0" xfId="0" applyAlignment="1" applyFill="1" applyFont="1">
      <alignment horizontal="center" readingOrder="0" vertical="center"/>
    </xf>
    <xf borderId="0" fillId="2" fontId="10" numFmtId="0" xfId="0" applyAlignment="1" applyFill="1" applyFont="1">
      <alignment readingOrder="0"/>
    </xf>
    <xf borderId="0" fillId="4" fontId="1" numFmtId="2" xfId="0" applyAlignment="1" applyFill="1" applyFont="1" applyNumberFormat="1">
      <alignment horizontal="center" vertical="center"/>
    </xf>
    <xf borderId="0" fillId="3" fontId="1" numFmtId="164" xfId="0" applyAlignment="1" applyFill="1" applyFont="1" applyNumberFormat="1">
      <alignment horizontal="center" readingOrder="0" vertical="center"/>
    </xf>
    <xf borderId="0" fillId="22" fontId="11" numFmtId="0" xfId="0" applyAlignment="1" applyFill="1" applyFont="1">
      <alignment horizontal="center"/>
    </xf>
    <xf borderId="0" fillId="23" fontId="11" numFmtId="0" xfId="0" applyAlignment="1" applyFill="1" applyFont="1">
      <alignment horizontal="center"/>
    </xf>
    <xf borderId="0" fillId="2" fontId="11" numFmtId="0" xfId="0" applyAlignment="1" applyFill="1" applyFont="1">
      <alignment horizontal="center" readingOrder="0"/>
    </xf>
    <xf borderId="0" fillId="4" fontId="1" numFmtId="164" xfId="0" applyAlignment="1" applyFill="1" applyFont="1" applyNumberFormat="1">
      <alignment horizontal="center" vertical="center"/>
    </xf>
    <xf borderId="0" fillId="2" fontId="7" numFmtId="0" xfId="0" applyAlignment="1" applyFill="1" applyFont="1">
      <alignment horizontal="center" vertical="center"/>
    </xf>
  </cellXfs>
  <cellStyles count="1">
    <cellStyle xfId="0" name="Normal" builtinId="0"/>
  </cellStyles>
  <dxfs count="26">
    <dxf>
      <font/>
      <fill>
        <patternFill patternType="solid">
          <fgColor rgb="FFB7E1CD"/>
          <bgColor rgb="FFB7E1CD"/>
        </patternFill>
      </fill>
      <border/>
    </dxf>
    <dxf>
      <font/>
      <fill>
        <patternFill patternType="solid">
          <fgColor rgb="FFFFD966"/>
          <bgColor rgb="FFFFD966"/>
        </patternFill>
      </fill>
      <border/>
    </dxf>
    <dxf>
      <font/>
      <fill>
        <patternFill patternType="solid">
          <fgColor theme="4"/>
          <bgColor theme="4"/>
        </patternFill>
      </fill>
      <border/>
    </dxf>
    <dxf>
      <font/>
      <fill>
        <patternFill patternType="solid">
          <fgColor rgb="FF00FFFF"/>
          <bgColor rgb="FF00FFFF"/>
        </patternFill>
      </fill>
      <border/>
    </dxf>
    <dxf>
      <font/>
      <fill>
        <patternFill patternType="none"/>
      </fill>
      <border/>
    </dxf>
    <dxf>
      <font/>
      <fill>
        <patternFill patternType="solid">
          <fgColor rgb="FFC27BA0"/>
          <bgColor rgb="FFC27BA0"/>
        </patternFill>
      </fill>
      <border/>
    </dxf>
    <dxf>
      <font/>
      <fill>
        <patternFill patternType="solid">
          <fgColor rgb="FF38761D"/>
          <bgColor rgb="FF38761D"/>
        </patternFill>
      </fill>
      <border/>
    </dxf>
    <dxf>
      <font/>
      <fill>
        <patternFill patternType="solid">
          <fgColor rgb="FF6D9EEB"/>
          <bgColor rgb="FF6D9EEB"/>
        </patternFill>
      </fill>
      <border/>
    </dxf>
    <dxf>
      <font/>
      <fill>
        <patternFill patternType="solid">
          <fgColor theme="8"/>
          <bgColor theme="8"/>
        </patternFill>
      </fill>
      <border/>
    </dxf>
    <dxf>
      <font/>
      <fill>
        <patternFill patternType="solid">
          <fgColor theme="7"/>
          <bgColor theme="7"/>
        </patternFill>
      </fill>
      <border/>
    </dxf>
    <dxf>
      <font/>
      <fill>
        <patternFill patternType="solid">
          <fgColor rgb="FF0000FF"/>
          <bgColor rgb="FF0000FF"/>
        </patternFill>
      </fill>
      <border/>
    </dxf>
    <dxf>
      <font/>
      <fill>
        <patternFill patternType="solid">
          <fgColor rgb="FFCC4125"/>
          <bgColor rgb="FFCC4125"/>
        </patternFill>
      </fill>
      <border/>
    </dxf>
    <dxf>
      <font/>
      <fill>
        <patternFill patternType="solid">
          <fgColor rgb="FFE06666"/>
          <bgColor rgb="FFE06666"/>
        </patternFill>
      </fill>
      <border/>
    </dxf>
    <dxf>
      <font/>
      <fill>
        <patternFill patternType="solid">
          <fgColor rgb="FFF6B26B"/>
          <bgColor rgb="FFF6B26B"/>
        </patternFill>
      </fill>
      <border/>
    </dxf>
    <dxf>
      <font/>
      <fill>
        <patternFill patternType="solid">
          <fgColor theme="9"/>
          <bgColor theme="9"/>
        </patternFill>
      </fill>
      <border/>
    </dxf>
    <dxf>
      <font/>
      <fill>
        <patternFill patternType="solid">
          <fgColor rgb="FF3C78D8"/>
          <bgColor rgb="FF3C78D8"/>
        </patternFill>
      </fill>
      <border/>
    </dxf>
    <dxf>
      <font/>
      <fill>
        <patternFill patternType="solid">
          <fgColor rgb="FFEAD1DC"/>
          <bgColor rgb="FFEAD1DC"/>
        </patternFill>
      </fill>
      <border/>
    </dxf>
    <dxf>
      <font/>
      <fill>
        <patternFill patternType="solid">
          <fgColor rgb="FFFF0000"/>
          <bgColor rgb="FFFF0000"/>
        </patternFill>
      </fill>
      <border/>
    </dxf>
    <dxf>
      <font/>
      <fill>
        <patternFill patternType="solid">
          <fgColor rgb="FFFF00FF"/>
          <bgColor rgb="FFFF00FF"/>
        </patternFill>
      </fill>
      <border/>
    </dxf>
    <dxf>
      <font/>
      <fill>
        <patternFill patternType="solid">
          <fgColor rgb="FFFFFF00"/>
          <bgColor rgb="FFFFFF00"/>
        </patternFill>
      </fill>
      <border/>
    </dxf>
    <dxf>
      <font/>
      <fill>
        <patternFill patternType="solid">
          <fgColor theme="6"/>
          <bgColor theme="6"/>
        </patternFill>
      </fill>
      <border/>
    </dxf>
    <dxf>
      <font/>
      <fill>
        <patternFill patternType="solid">
          <fgColor rgb="FFB45F06"/>
          <bgColor rgb="FFB45F06"/>
        </patternFill>
      </fill>
      <border/>
    </dxf>
    <dxf>
      <font/>
      <fill>
        <patternFill patternType="solid">
          <fgColor rgb="FFD9D2E9"/>
          <bgColor rgb="FFD9D2E9"/>
        </patternFill>
      </fill>
      <border/>
    </dxf>
    <dxf>
      <font>
        <color rgb="FF0C343D"/>
      </font>
      <fill>
        <patternFill patternType="solid">
          <fgColor rgb="FF25E257"/>
          <bgColor rgb="FF25E257"/>
        </patternFill>
      </fill>
      <border/>
    </dxf>
    <dxf>
      <font/>
      <fill>
        <patternFill patternType="solid">
          <fgColor rgb="FF93C47D"/>
          <bgColor rgb="FF93C47D"/>
        </patternFill>
      </fill>
      <border/>
    </dxf>
    <dxf>
      <font/>
      <fill>
        <patternFill patternType="solid">
          <fgColor rgb="FF660000"/>
          <bgColor rgb="FF66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95zone.to/threads/rebel-kingdom-ch-4-saltysai.82959/" TargetMode="External"/><Relationship Id="rId194" Type="http://schemas.openxmlformats.org/officeDocument/2006/relationships/hyperlink" Target="https://f95zone.to/threads/rebel-academy-ch-1-5-final-saltysai.78961/" TargetMode="External"/><Relationship Id="rId193" Type="http://schemas.openxmlformats.org/officeDocument/2006/relationships/hyperlink" Target="https://f95zone.to/threads/quick-fix-3-final-saltysai.57894/" TargetMode="External"/><Relationship Id="rId192" Type="http://schemas.openxmlformats.org/officeDocument/2006/relationships/hyperlink" Target="https://f95zone.to/threads/fate-grand-escape-final-saltysai.70381/" TargetMode="External"/><Relationship Id="rId191" Type="http://schemas.openxmlformats.org/officeDocument/2006/relationships/hyperlink" Target="https://f95zone.to/threads/rebel-island-remake-final-saltysai.67480/" TargetMode="External"/><Relationship Id="rId187" Type="http://schemas.openxmlformats.org/officeDocument/2006/relationships/hyperlink" Target="https://f95zone.to/threads/that-wacky-magic-demo-amethysta-games.98108/" TargetMode="External"/><Relationship Id="rId186" Type="http://schemas.openxmlformats.org/officeDocument/2006/relationships/hyperlink" Target="https://f95zone.to/threads/gods-sandbox-v0-1-2-unreddy.98392/" TargetMode="External"/><Relationship Id="rId185" Type="http://schemas.openxmlformats.org/officeDocument/2006/relationships/hyperlink" Target="https://f95zone.to/threads/i-woke-up-inside-a-pixiv-game-v0-2.98663/" TargetMode="External"/><Relationship Id="rId184" Type="http://schemas.openxmlformats.org/officeDocument/2006/relationships/hyperlink" Target="https://f95zone.to/threads/harem-rpg-unofficial-remake-c4-2-kuroki.90862/" TargetMode="External"/><Relationship Id="rId189" Type="http://schemas.openxmlformats.org/officeDocument/2006/relationships/hyperlink" Target="https://f95zone.to/threads/natsuru-roshutsu-v0-2-seductivekneesocks.72040/" TargetMode="External"/><Relationship Id="rId188" Type="http://schemas.openxmlformats.org/officeDocument/2006/relationships/hyperlink" Target="https://f95zone.to/threads/new-adventure-new-life-v0-7-0-bmnstudio.79383/" TargetMode="External"/><Relationship Id="rId183" Type="http://schemas.openxmlformats.org/officeDocument/2006/relationships/hyperlink" Target="https://f95zone.to/threads/harem-collector-v0-52-2-bad-kitty-games.115/" TargetMode="External"/><Relationship Id="rId182" Type="http://schemas.openxmlformats.org/officeDocument/2006/relationships/hyperlink" Target="https://f95zone.to/threads/little-witch-emily-v0-6-3-dantor.104154/" TargetMode="External"/><Relationship Id="rId181" Type="http://schemas.openxmlformats.org/officeDocument/2006/relationships/hyperlink" Target="https://f95zone.to/threads/nex-e-us-institute-v0-04-thehypnotizator.83944/" TargetMode="External"/><Relationship Id="rId180" Type="http://schemas.openxmlformats.org/officeDocument/2006/relationships/hyperlink" Target="https://f95zone.to/threads/goddess-fighter-v0-3-erxy.107532/" TargetMode="External"/><Relationship Id="rId176" Type="http://schemas.openxmlformats.org/officeDocument/2006/relationships/hyperlink" Target="https://f95zone.to/threads/pyrrhic-devotion-v0-02a-meathicus-man.106323/" TargetMode="External"/><Relationship Id="rId297" Type="http://schemas.openxmlformats.org/officeDocument/2006/relationships/hyperlink" Target="https://f95zone.to/threads/record-of-asturion-war-v0-23-tjord.65478/" TargetMode="External"/><Relationship Id="rId175" Type="http://schemas.openxmlformats.org/officeDocument/2006/relationships/hyperlink" Target="https://f95zone.to/threads/escape-from-misantria-v0-3-6-ariestra.106401/" TargetMode="External"/><Relationship Id="rId296" Type="http://schemas.openxmlformats.org/officeDocument/2006/relationships/hyperlink" Target="https://f95zone.to/threads/whitewillow-high-v0-05-awakening-studios.90838/" TargetMode="External"/><Relationship Id="rId174" Type="http://schemas.openxmlformats.org/officeDocument/2006/relationships/hyperlink" Target="https://f95zone.to/threads/chronicles-of-the-chaosborn-v0-15-chaosborn.77772/" TargetMode="External"/><Relationship Id="rId295" Type="http://schemas.openxmlformats.org/officeDocument/2006/relationships/hyperlink" Target="https://f95zone.to/threads/sisntea-sister-teacher-v0-05b-nerv.62805/" TargetMode="External"/><Relationship Id="rId173" Type="http://schemas.openxmlformats.org/officeDocument/2006/relationships/hyperlink" Target="https://f95zone.to/threads/the-pirates-of-lust-v0-0-1-potatoes-and-dragons.116865/" TargetMode="External"/><Relationship Id="rId294" Type="http://schemas.openxmlformats.org/officeDocument/2006/relationships/hyperlink" Target="https://f95zone.to/threads/lewd-cases-of-quebe-village-v0-2-1-shinneru.73964/" TargetMode="External"/><Relationship Id="rId179" Type="http://schemas.openxmlformats.org/officeDocument/2006/relationships/hyperlink" Target="https://f95zone.to/threads/knight-of-love-part-1-f4-slightly-pink-heart.48363/" TargetMode="External"/><Relationship Id="rId178" Type="http://schemas.openxmlformats.org/officeDocument/2006/relationships/hyperlink" Target="https://f95zone.to/threads/after-ending-v0-4-lop333.113652/" TargetMode="External"/><Relationship Id="rId299" Type="http://schemas.openxmlformats.org/officeDocument/2006/relationships/hyperlink" Target="https://f95zone.to/threads/operation-xyx-the-house-always-wins-v0-1-reverseryonanet.75484/" TargetMode="External"/><Relationship Id="rId177" Type="http://schemas.openxmlformats.org/officeDocument/2006/relationships/hyperlink" Target="https://f95zone.to/threads/the-hidden-end-v0-1-2b-aedirn-studio.106810/" TargetMode="External"/><Relationship Id="rId298" Type="http://schemas.openxmlformats.org/officeDocument/2006/relationships/hyperlink" Target="https://f95zone.to/threads/lewd-town-road-v0-1-ruwanltr.80552/" TargetMode="External"/><Relationship Id="rId198" Type="http://schemas.openxmlformats.org/officeDocument/2006/relationships/hyperlink" Target="https://f95zone.to/threads/tummy-asmr-v-1-0-2-fierylion.120717/" TargetMode="External"/><Relationship Id="rId197" Type="http://schemas.openxmlformats.org/officeDocument/2006/relationships/hyperlink" Target="https://f95zone.to/threads/legacy-of-hestia-r14-winterfire.88059/" TargetMode="External"/><Relationship Id="rId196" Type="http://schemas.openxmlformats.org/officeDocument/2006/relationships/hyperlink" Target="https://f95zone.to/threads/behind-the-truth-the-reckoning-v1-0-final-astrider.54670/" TargetMode="External"/><Relationship Id="rId195" Type="http://schemas.openxmlformats.org/officeDocument/2006/relationships/hyperlink" Target="https://f95zone.to/threads/crazy-gamemaster-the-7-crystals-v1-0-rpgcrazy.76695/" TargetMode="External"/><Relationship Id="rId199" Type="http://schemas.openxmlformats.org/officeDocument/2006/relationships/hyperlink" Target="https://f95zone.to/threads/armagon-2069-v0-2-2-xdeysx.111709/" TargetMode="External"/><Relationship Id="rId150" Type="http://schemas.openxmlformats.org/officeDocument/2006/relationships/hyperlink" Target="https://f95zone.to/threads/average-abilities-book-1-ch-1-animeking314.74946/" TargetMode="External"/><Relationship Id="rId271" Type="http://schemas.openxmlformats.org/officeDocument/2006/relationships/hyperlink" Target="https://f95zone.to/threads/charao-life-v0-6-15-triplesevenrpg.13562/" TargetMode="External"/><Relationship Id="rId392" Type="http://schemas.openxmlformats.org/officeDocument/2006/relationships/hyperlink" Target="https://f95zone.to/threads/futanari-in-the-multiversal-world-v0-1-regisbolg-games.130633/" TargetMode="External"/><Relationship Id="rId270" Type="http://schemas.openxmlformats.org/officeDocument/2006/relationships/hyperlink" Target="https://f95zone.to/threads/new-body-new-life-v0-7-moccasins-mirror.35012/" TargetMode="External"/><Relationship Id="rId391" Type="http://schemas.openxmlformats.org/officeDocument/2006/relationships/hyperlink" Target="https://f95zone.to/threads/united-forever-v0-1-capky-games.130397/" TargetMode="External"/><Relationship Id="rId390" Type="http://schemas.openxmlformats.org/officeDocument/2006/relationships/hyperlink" Target="https://f95zone.to/threads/giantess-2022-09-07-misottyo.90667/" TargetMode="External"/><Relationship Id="rId1" Type="http://schemas.openxmlformats.org/officeDocument/2006/relationships/comments" Target="../comments1.xml"/><Relationship Id="rId2" Type="http://schemas.openxmlformats.org/officeDocument/2006/relationships/hyperlink" Target="https://f95zone.to/threads/complex-society-v0-22-1a-abrokena-productions.33579/" TargetMode="External"/><Relationship Id="rId3" Type="http://schemas.openxmlformats.org/officeDocument/2006/relationships/hyperlink" Target="https://f95zone.to/threads/waifu-slut-school-v0-1-mikiraus.121458/" TargetMode="External"/><Relationship Id="rId149" Type="http://schemas.openxmlformats.org/officeDocument/2006/relationships/hyperlink" Target="https://f95zone.to/threads/lewd-teacher-v0-4-bldstudio.73193/" TargetMode="External"/><Relationship Id="rId4" Type="http://schemas.openxmlformats.org/officeDocument/2006/relationships/hyperlink" Target="https://f95zone.to/threads/alternative-universe-demo-echowix-games.120635/" TargetMode="External"/><Relationship Id="rId148" Type="http://schemas.openxmlformats.org/officeDocument/2006/relationships/hyperlink" Target="https://f95zone.to/threads/crazy-gamemaster-the-witch-demo-rpgcrazy.84892/" TargetMode="External"/><Relationship Id="rId269" Type="http://schemas.openxmlformats.org/officeDocument/2006/relationships/hyperlink" Target="https://f95zone.to/threads/under-my-assassin-pride-prologue-legitheart.65238/" TargetMode="External"/><Relationship Id="rId9" Type="http://schemas.openxmlformats.org/officeDocument/2006/relationships/hyperlink" Target="https://f95zone.to/threads/my-hero-rising-v0-33-public-daraus.89991/" TargetMode="External"/><Relationship Id="rId143" Type="http://schemas.openxmlformats.org/officeDocument/2006/relationships/hyperlink" Target="https://f95zone.to/threads/stories-of-seduction-v0-1-inspiro69.93959/" TargetMode="External"/><Relationship Id="rId264" Type="http://schemas.openxmlformats.org/officeDocument/2006/relationships/hyperlink" Target="https://f95zone.to/threads/dot-quarantine-v0-2-azure.46561/" TargetMode="External"/><Relationship Id="rId385" Type="http://schemas.openxmlformats.org/officeDocument/2006/relationships/hyperlink" Target="https://f95zone.to/threads/code-scion-secrets-within-v0-1-zerosa-games.130097/" TargetMode="External"/><Relationship Id="rId142" Type="http://schemas.openxmlformats.org/officeDocument/2006/relationships/hyperlink" Target="https://f95zone.to/threads/a-heros-sex-journey-v0-1-0-obtusk.94156/" TargetMode="External"/><Relationship Id="rId263" Type="http://schemas.openxmlformats.org/officeDocument/2006/relationships/hyperlink" Target="https://f95zone.to/threads/lotd-v0-0-5-m-c-games.45736/" TargetMode="External"/><Relationship Id="rId384" Type="http://schemas.openxmlformats.org/officeDocument/2006/relationships/hyperlink" Target="https://f95zone.to/threads/love-or-power-v0-1-sihirbaz_artttzz.129996/" TargetMode="External"/><Relationship Id="rId141" Type="http://schemas.openxmlformats.org/officeDocument/2006/relationships/hyperlink" Target="https://f95zone.to/threads/among-ass-v0-0-1-jackedgames.96844/" TargetMode="External"/><Relationship Id="rId262" Type="http://schemas.openxmlformats.org/officeDocument/2006/relationships/hyperlink" Target="https://f95zone.to/threads/monster-cohabitation-day-4-beta-monstersage.60955/" TargetMode="External"/><Relationship Id="rId383" Type="http://schemas.openxmlformats.org/officeDocument/2006/relationships/hyperlink" Target="https://f95zone.to/threads/let-me-tell-you-some-stories-v0-1-little-bean.129704/" TargetMode="External"/><Relationship Id="rId140" Type="http://schemas.openxmlformats.org/officeDocument/2006/relationships/hyperlink" Target="https://f95zone.to/threads/welcome-to-bell-college-charme-et-sortilege-v0-4-1-armand-ribo.32697/" TargetMode="External"/><Relationship Id="rId261" Type="http://schemas.openxmlformats.org/officeDocument/2006/relationships/hyperlink" Target="https://f95zone.to/threads/three-houses-v0-1-7-jyp-games.60800/" TargetMode="External"/><Relationship Id="rId382" Type="http://schemas.openxmlformats.org/officeDocument/2006/relationships/hyperlink" Target="https://f95zone.to/threads/monster-final-asobi.129401/" TargetMode="External"/><Relationship Id="rId5" Type="http://schemas.openxmlformats.org/officeDocument/2006/relationships/hyperlink" Target="https://f95zone.to/threads/greener-pastures-v0-12-arcaos.80656/" TargetMode="External"/><Relationship Id="rId147" Type="http://schemas.openxmlformats.org/officeDocument/2006/relationships/hyperlink" Target="https://f95zone.to/threads/bed-for-3-v0-12-tonjj.88660/" TargetMode="External"/><Relationship Id="rId268" Type="http://schemas.openxmlformats.org/officeDocument/2006/relationships/hyperlink" Target="https://f95zone.to/threads/heart-throbbing-school-life-2020-09-27-demo-azureemblem.56782/" TargetMode="External"/><Relationship Id="rId389" Type="http://schemas.openxmlformats.org/officeDocument/2006/relationships/hyperlink" Target="https://f95zone.to/threads/make-a-good-slave-v1-1-qualityglassesm.129656/" TargetMode="External"/><Relationship Id="rId6" Type="http://schemas.openxmlformats.org/officeDocument/2006/relationships/hyperlink" Target="https://f95zone.to/threads/peerless-lust-v0-13-public-darx24.93269/" TargetMode="External"/><Relationship Id="rId146" Type="http://schemas.openxmlformats.org/officeDocument/2006/relationships/hyperlink" Target="https://f95zone.to/threads/lusty-town-v0-2-0-lustygames.53025/" TargetMode="External"/><Relationship Id="rId267" Type="http://schemas.openxmlformats.org/officeDocument/2006/relationships/hyperlink" Target="https://f95zone.to/threads/rebel-island-original-release-1-3-5-saltysai.62519/" TargetMode="External"/><Relationship Id="rId388" Type="http://schemas.openxmlformats.org/officeDocument/2006/relationships/hyperlink" Target="https://f95zone.to/threads/deepthroat-simulator-vr-v1-092-squircle-games.123758/" TargetMode="External"/><Relationship Id="rId7" Type="http://schemas.openxmlformats.org/officeDocument/2006/relationships/hyperlink" Target="https://f95zone.to/threads/harem-impact-v0-2-rayasher.93996/" TargetMode="External"/><Relationship Id="rId145" Type="http://schemas.openxmlformats.org/officeDocument/2006/relationships/hyperlink" Target="https://f95zone.to/threads/kuro-v1-0-renlion69.90721/" TargetMode="External"/><Relationship Id="rId266" Type="http://schemas.openxmlformats.org/officeDocument/2006/relationships/hyperlink" Target="https://f95zone.to/threads/pokeman-quest-2-trainer-quest-origins-final-saltysai.49888/" TargetMode="External"/><Relationship Id="rId387" Type="http://schemas.openxmlformats.org/officeDocument/2006/relationships/hyperlink" Target="https://f95zone.to/threads/haremroid-vr-v1-0-final-gamessafu.129555/" TargetMode="External"/><Relationship Id="rId8" Type="http://schemas.openxmlformats.org/officeDocument/2006/relationships/hyperlink" Target="https://f95zone.to/threads/mc-simulator-v0-2-55-public-aph.77959/" TargetMode="External"/><Relationship Id="rId144" Type="http://schemas.openxmlformats.org/officeDocument/2006/relationships/hyperlink" Target="https://f95zone.to/threads/dream-link-v1-0-mrdecim.91637/" TargetMode="External"/><Relationship Id="rId265" Type="http://schemas.openxmlformats.org/officeDocument/2006/relationships/hyperlink" Target="https://f95zone.to/threads/kingdoms-origins-v0-5b-m-c-games.46898/" TargetMode="External"/><Relationship Id="rId386" Type="http://schemas.openxmlformats.org/officeDocument/2006/relationships/hyperlink" Target="https://f95zone.to/threads/lurking-in-my-destiny-prologue-part-1-senseidaimon.130140/" TargetMode="External"/><Relationship Id="rId260" Type="http://schemas.openxmlformats.org/officeDocument/2006/relationships/hyperlink" Target="https://f95zone.to/threads/sunrise-college-v0-1-0-pixelporium.60626/" TargetMode="External"/><Relationship Id="rId381" Type="http://schemas.openxmlformats.org/officeDocument/2006/relationships/hyperlink" Target="https://f95zone.to/threads/school-v0-1-meowthecat.129214/" TargetMode="External"/><Relationship Id="rId380" Type="http://schemas.openxmlformats.org/officeDocument/2006/relationships/hyperlink" Target="https://f95zone.to/threads/special-harem-class-v0-1-0-kagetodev.129009/" TargetMode="External"/><Relationship Id="rId139" Type="http://schemas.openxmlformats.org/officeDocument/2006/relationships/hyperlink" Target="https://f95zone.to/threads/tales-of-magic-school-v0-1-0v-livia_isbutterfly.134452/" TargetMode="External"/><Relationship Id="rId138" Type="http://schemas.openxmlformats.org/officeDocument/2006/relationships/hyperlink" Target="https://f95zone.to/threads/love-lurker-v1-0-double-moon.55797/" TargetMode="External"/><Relationship Id="rId259" Type="http://schemas.openxmlformats.org/officeDocument/2006/relationships/hyperlink" Target="https://f95zone.to/threads/the-magical-family-v0-1a-lunalena.45578/" TargetMode="External"/><Relationship Id="rId137" Type="http://schemas.openxmlformats.org/officeDocument/2006/relationships/hyperlink" Target="https://f95zone.to/threads/santa-catalina-gakuen-v1-0-wasabi-productions.99925/" TargetMode="External"/><Relationship Id="rId258" Type="http://schemas.openxmlformats.org/officeDocument/2006/relationships/hyperlink" Target="https://f95zone.to/threads/love-of-my-life-v0-2-generalkaseime.52696/" TargetMode="External"/><Relationship Id="rId379" Type="http://schemas.openxmlformats.org/officeDocument/2006/relationships/hyperlink" Target="https://f95zone.to/threads/my-family-farm-v0-0-4-fix-farmguy.128961/" TargetMode="External"/><Relationship Id="rId132" Type="http://schemas.openxmlformats.org/officeDocument/2006/relationships/hyperlink" Target="https://f95zone.to/threads/dateslut-v0-1-devilxgame.102883/" TargetMode="External"/><Relationship Id="rId253" Type="http://schemas.openxmlformats.org/officeDocument/2006/relationships/hyperlink" Target="https://f95zone.to/threads/overpowered-v0-6-yoshimitsu.32663/" TargetMode="External"/><Relationship Id="rId374" Type="http://schemas.openxmlformats.org/officeDocument/2006/relationships/hyperlink" Target="https://f95zone.to/threads/sailing-i-want-to-fuck-the-big-breasted-captain-of-my-dreams-final-mofumofugames.127065/" TargetMode="External"/><Relationship Id="rId495" Type="http://schemas.openxmlformats.org/officeDocument/2006/relationships/hyperlink" Target="https://f95zone.to/threads/corrupting-my-girlfriend-in-another-world-v0-0-2-r1leyd4rk.146877/" TargetMode="External"/><Relationship Id="rId131" Type="http://schemas.openxmlformats.org/officeDocument/2006/relationships/hyperlink" Target="https://f95zone.to/threads/the-beautiful-world-0-0853-schiff-daveboon.102838/" TargetMode="External"/><Relationship Id="rId252" Type="http://schemas.openxmlformats.org/officeDocument/2006/relationships/hyperlink" Target="https://f95zone.to/threads/hack-in-love-v0-3-blaskure.37675/" TargetMode="External"/><Relationship Id="rId373" Type="http://schemas.openxmlformats.org/officeDocument/2006/relationships/hyperlink" Target="https://f95zone.to/threads/oedo-trigger-v0-0-1-trial-cqc-software.127031/" TargetMode="External"/><Relationship Id="rId494" Type="http://schemas.openxmlformats.org/officeDocument/2006/relationships/hyperlink" Target="https://f95zone.to/threads/newlywed-twin-swordswoman-and-the-curse-of-sexual-lust-v1-0-karaage-tomato.145020/" TargetMode="External"/><Relationship Id="rId130" Type="http://schemas.openxmlformats.org/officeDocument/2006/relationships/hyperlink" Target="https://f95zone.to/threads/ich-will-project-v0-3-1-amazoness-enterprises.38311/" TargetMode="External"/><Relationship Id="rId251" Type="http://schemas.openxmlformats.org/officeDocument/2006/relationships/hyperlink" Target="https://f95zone.to/threads/passion-city-beta-1-5-1-chrys.38332/" TargetMode="External"/><Relationship Id="rId372" Type="http://schemas.openxmlformats.org/officeDocument/2006/relationships/hyperlink" Target="https://f95zone.to/threads/heir-of-lust-v0-1-indeciso-games.127136/" TargetMode="External"/><Relationship Id="rId493" Type="http://schemas.openxmlformats.org/officeDocument/2006/relationships/hyperlink" Target="https://f95zone.to/threads/black-rose-a-netori-story-v0-1-winteryedge.146775/" TargetMode="External"/><Relationship Id="rId250" Type="http://schemas.openxmlformats.org/officeDocument/2006/relationships/hyperlink" Target="https://f95zone.to/threads/untitled-v0-01-mikiasu.38192/" TargetMode="External"/><Relationship Id="rId371" Type="http://schemas.openxmlformats.org/officeDocument/2006/relationships/hyperlink" Target="https://f95zone.to/threads/emma-demo-adventurestudios.110741/" TargetMode="External"/><Relationship Id="rId492" Type="http://schemas.openxmlformats.org/officeDocument/2006/relationships/hyperlink" Target="https://f95zone.to/threads/perfect-family-prologue-pohg.146764/" TargetMode="External"/><Relationship Id="rId136" Type="http://schemas.openxmlformats.org/officeDocument/2006/relationships/hyperlink" Target="https://f95zone.to/threads/the-boy-who-dicked-through-time-ch-1-accurate-asteroid-games.101224/" TargetMode="External"/><Relationship Id="rId257" Type="http://schemas.openxmlformats.org/officeDocument/2006/relationships/hyperlink" Target="https://f95zone.to/threads/happy-homestay-v0-1-0-flamy.49132/" TargetMode="External"/><Relationship Id="rId378" Type="http://schemas.openxmlformats.org/officeDocument/2006/relationships/hyperlink" Target="https://f95zone.to/threads/path-to-dominion-v0-1-0-dark-summer-leaf.128600/" TargetMode="External"/><Relationship Id="rId499" Type="http://schemas.openxmlformats.org/officeDocument/2006/relationships/hyperlink" Target="https://f95zone.to/threads/twinewood-ep-1-teaser-professional-degenerate.147820/" TargetMode="External"/><Relationship Id="rId135" Type="http://schemas.openxmlformats.org/officeDocument/2006/relationships/hyperlink" Target="https://f95zone.to/threads/winds-of-the-destiny-v0-7-5-golden-novels.50229/" TargetMode="External"/><Relationship Id="rId256" Type="http://schemas.openxmlformats.org/officeDocument/2006/relationships/hyperlink" Target="https://f95zone.to/threads/oa-new-beginnings-v0-0-2-yukimomo.42416/" TargetMode="External"/><Relationship Id="rId377" Type="http://schemas.openxmlformats.org/officeDocument/2006/relationships/hyperlink" Target="https://f95zone.to/threads/my-office-adventures-v0-90-the-coder.67937/" TargetMode="External"/><Relationship Id="rId498" Type="http://schemas.openxmlformats.org/officeDocument/2006/relationships/hyperlink" Target="https://f95zone.to/threads/waiting-for-you-v1-0fix-psiandiameter.147523/" TargetMode="External"/><Relationship Id="rId134" Type="http://schemas.openxmlformats.org/officeDocument/2006/relationships/hyperlink" Target="https://f95zone.to/threads/natures-twats-v0-0-2-toiletdev_2976.101606/" TargetMode="External"/><Relationship Id="rId255" Type="http://schemas.openxmlformats.org/officeDocument/2006/relationships/hyperlink" Target="https://f95zone.to/threads/lost-paradise-v1-2-emagrevo18.43201/" TargetMode="External"/><Relationship Id="rId376" Type="http://schemas.openxmlformats.org/officeDocument/2006/relationships/hyperlink" Target="https://f95zone.to/threads/league-of-toxis-v0-2-0-saltysai.127799/" TargetMode="External"/><Relationship Id="rId497" Type="http://schemas.openxmlformats.org/officeDocument/2006/relationships/hyperlink" Target="https://f95zone.to/threads/lustful-sin-v0-1-0-unusualfishgame.147071/" TargetMode="External"/><Relationship Id="rId133" Type="http://schemas.openxmlformats.org/officeDocument/2006/relationships/hyperlink" Target="https://f95zone.to/threads/overpowered-ep-11-yoshigames.61027/" TargetMode="External"/><Relationship Id="rId254" Type="http://schemas.openxmlformats.org/officeDocument/2006/relationships/hyperlink" Target="https://f95zone.to/threads/sexsoulsna-v0-1-pasunna.37331/" TargetMode="External"/><Relationship Id="rId375" Type="http://schemas.openxmlformats.org/officeDocument/2006/relationships/hyperlink" Target="https://f95zone.to/threads/my-maid-dream-of-electric-sheep-v0-1-0-dodongamagnifico.127494/" TargetMode="External"/><Relationship Id="rId496" Type="http://schemas.openxmlformats.org/officeDocument/2006/relationships/hyperlink" Target="https://f95zone.to/threads/sorrow-of-rebirth-v0-1-5-pepega.146995/" TargetMode="External"/><Relationship Id="rId172" Type="http://schemas.openxmlformats.org/officeDocument/2006/relationships/hyperlink" Target="https://f95zone.to/threads/shrinking-stories-v0-6-xredzerox.86946/" TargetMode="External"/><Relationship Id="rId293" Type="http://schemas.openxmlformats.org/officeDocument/2006/relationships/hyperlink" Target="https://f95zone.to/threads/almaria-v0-275-jaywang-games.70991/" TargetMode="External"/><Relationship Id="rId171" Type="http://schemas.openxmlformats.org/officeDocument/2006/relationships/hyperlink" Target="https://f95zone.to/threads/bawdy-traditions-v1-2-aedirn-studio.53953/" TargetMode="External"/><Relationship Id="rId292" Type="http://schemas.openxmlformats.org/officeDocument/2006/relationships/hyperlink" Target="https://f95zone.to/threads/coach-v0-3-anada-studio.55189/" TargetMode="External"/><Relationship Id="rId170" Type="http://schemas.openxmlformats.org/officeDocument/2006/relationships/hyperlink" Target="https://f95zone.to/threads/msq-3d-remake-v0-5-0-saltysai.99701/" TargetMode="External"/><Relationship Id="rId291" Type="http://schemas.openxmlformats.org/officeDocument/2006/relationships/hyperlink" Target="https://f95zone.to/threads/teachable-moment-v0-3-2-kuroyama.60712/" TargetMode="External"/><Relationship Id="rId290" Type="http://schemas.openxmlformats.org/officeDocument/2006/relationships/hyperlink" Target="https://f95zone.to/threads/anime-world-photographer-0-001-kk2oven.74106/" TargetMode="External"/><Relationship Id="rId165" Type="http://schemas.openxmlformats.org/officeDocument/2006/relationships/hyperlink" Target="https://f95zone.to/threads/jiggly-jigsaw-v1-1-0-ambir.111265/" TargetMode="External"/><Relationship Id="rId286" Type="http://schemas.openxmlformats.org/officeDocument/2006/relationships/hyperlink" Target="https://f95zone.to/threads/cow-in-my-house-v0-23-7-mr-lspo.77741/" TargetMode="External"/><Relationship Id="rId164" Type="http://schemas.openxmlformats.org/officeDocument/2006/relationships/hyperlink" Target="https://f95zone.to/threads/breaking-clover-v1-0-lewdsinner.98480/" TargetMode="External"/><Relationship Id="rId285" Type="http://schemas.openxmlformats.org/officeDocument/2006/relationships/hyperlink" Target="https://f95zone.to/threads/battle-of-the-angels-v0-2-leonproductions.71864/" TargetMode="External"/><Relationship Id="rId163" Type="http://schemas.openxmlformats.org/officeDocument/2006/relationships/hyperlink" Target="https://f95zone.to/threads/fate-king-final-hashibiroko.89631/" TargetMode="External"/><Relationship Id="rId284" Type="http://schemas.openxmlformats.org/officeDocument/2006/relationships/hyperlink" Target="https://f95zone.to/threads/the-baby-daddy-v0-4a-triplesevenrpg.73458/" TargetMode="External"/><Relationship Id="rId162" Type="http://schemas.openxmlformats.org/officeDocument/2006/relationships/hyperlink" Target="https://f95zone.to/threads/virtual-anime-succubus-sakura-final-arkleoff.105573/" TargetMode="External"/><Relationship Id="rId283" Type="http://schemas.openxmlformats.org/officeDocument/2006/relationships/hyperlink" Target="https://f95zone.to/threads/house-management-in-the-new-world-v0-2-scrambeled-noise.68968/" TargetMode="External"/><Relationship Id="rId169" Type="http://schemas.openxmlformats.org/officeDocument/2006/relationships/hyperlink" Target="https://f95zone.to/threads/grand-uni-battle-v0-2-pinkdream.115821/" TargetMode="External"/><Relationship Id="rId168" Type="http://schemas.openxmlformats.org/officeDocument/2006/relationships/hyperlink" Target="https://f95zone.to/threads/the-legend-of-yashi-v0-6-one-heroic-man-studio.119799/" TargetMode="External"/><Relationship Id="rId289" Type="http://schemas.openxmlformats.org/officeDocument/2006/relationships/hyperlink" Target="https://f95zone.to/threads/can-a-school-librarian-get-a-cute-girlfriend-v0-1-0-darkyagami.74373/" TargetMode="External"/><Relationship Id="rId167" Type="http://schemas.openxmlformats.org/officeDocument/2006/relationships/hyperlink" Target="https://f95zone.to/threads/emilia-joseph-exploited-innocence-v0-09-hannahhongames.110911/" TargetMode="External"/><Relationship Id="rId288" Type="http://schemas.openxmlformats.org/officeDocument/2006/relationships/hyperlink" Target="https://f95zone.to/threads/seal-v0-11-gamma-vernam.72677/" TargetMode="External"/><Relationship Id="rId166" Type="http://schemas.openxmlformats.org/officeDocument/2006/relationships/hyperlink" Target="https://f95zone.to/threads/nightmares-before-halloween-v1-0-mrdracosaurus.95798/" TargetMode="External"/><Relationship Id="rId287" Type="http://schemas.openxmlformats.org/officeDocument/2006/relationships/hyperlink" Target="https://f95zone.to/threads/crossing-lust-v0-15-rstter_dp.76418/" TargetMode="External"/><Relationship Id="rId161" Type="http://schemas.openxmlformats.org/officeDocument/2006/relationships/hyperlink" Target="https://f95zone.to/threads/long-way-home-v1-0-finished-mystic-cro.105119/" TargetMode="External"/><Relationship Id="rId282" Type="http://schemas.openxmlformats.org/officeDocument/2006/relationships/hyperlink" Target="https://f95zone.to/threads/my-sisters-put-a-chastity-cage-on-me-v0-4-rommelcage.86904/" TargetMode="External"/><Relationship Id="rId160" Type="http://schemas.openxmlformats.org/officeDocument/2006/relationships/hyperlink" Target="https://f95zone.to/threads/treacherous-desires-final-hirumay.63057/" TargetMode="External"/><Relationship Id="rId281" Type="http://schemas.openxmlformats.org/officeDocument/2006/relationships/hyperlink" Target="https://f95zone.to/threads/chaotic-neutral-v1-2-chaotic-neutral.63967/" TargetMode="External"/><Relationship Id="rId280" Type="http://schemas.openxmlformats.org/officeDocument/2006/relationships/hyperlink" Target="https://f95zone.to/threads/young-lust-v0-21a-vinnlemon.79035/" TargetMode="External"/><Relationship Id="rId159" Type="http://schemas.openxmlformats.org/officeDocument/2006/relationships/hyperlink" Target="https://f95zone.to/threads/teaching-hard-or-hardly-teaching-v1-0-nephremka.47958/" TargetMode="External"/><Relationship Id="rId154" Type="http://schemas.openxmlformats.org/officeDocument/2006/relationships/hyperlink" Target="https://f95zone.to/threads/angelic-dreams-final-lechroniqueur.58608/" TargetMode="External"/><Relationship Id="rId275" Type="http://schemas.openxmlformats.org/officeDocument/2006/relationships/hyperlink" Target="https://f95zone.to/threads/lust-awakens-v0-3-pyresoft.36225/" TargetMode="External"/><Relationship Id="rId396" Type="http://schemas.openxmlformats.org/officeDocument/2006/relationships/hyperlink" Target="https://f95zone.to/threads/multiverse-ballance-v0-1-rose-games.131169/" TargetMode="External"/><Relationship Id="rId153" Type="http://schemas.openxmlformats.org/officeDocument/2006/relationships/hyperlink" Target="https://f95zone.to/threads/poke-ball-academia-full-zanesfm.53183/" TargetMode="External"/><Relationship Id="rId274" Type="http://schemas.openxmlformats.org/officeDocument/2006/relationships/hyperlink" Target="https://f95zone.to/threads/isekaid-v0-0-2-pervygoose.62680/" TargetMode="External"/><Relationship Id="rId395" Type="http://schemas.openxmlformats.org/officeDocument/2006/relationships/hyperlink" Target="https://f95zone.to/threads/rewritten-v0-45-zel-dev.131057/" TargetMode="External"/><Relationship Id="rId152" Type="http://schemas.openxmlformats.org/officeDocument/2006/relationships/hyperlink" Target="https://f95zone.to/threads/tasogare-no-sinsemilla-sakuya-scene-final-lunardis.91711/" TargetMode="External"/><Relationship Id="rId273" Type="http://schemas.openxmlformats.org/officeDocument/2006/relationships/hyperlink" Target="https://f95zone.to/threads/the-mysterious-island-0-4-0b-doc5252.56498/" TargetMode="External"/><Relationship Id="rId394" Type="http://schemas.openxmlformats.org/officeDocument/2006/relationships/hyperlink" Target="https://f95zone.to/threads/new-life-v-0-1-0-sweet-games-studios.130783/" TargetMode="External"/><Relationship Id="rId151" Type="http://schemas.openxmlformats.org/officeDocument/2006/relationships/hyperlink" Target="https://f95zone.to/threads/the-demon-lord-in-another-world-v1-0-mrdracosaurus.93325/" TargetMode="External"/><Relationship Id="rId272" Type="http://schemas.openxmlformats.org/officeDocument/2006/relationships/hyperlink" Target="https://f95zone.to/threads/innocent-v0-3-1-sushigames.45425/" TargetMode="External"/><Relationship Id="rId393" Type="http://schemas.openxmlformats.org/officeDocument/2006/relationships/hyperlink" Target="https://f95zone.to/threads/shrink-with-a-succubus-v0-7-1-m87124-games.101249/" TargetMode="External"/><Relationship Id="rId158" Type="http://schemas.openxmlformats.org/officeDocument/2006/relationships/hyperlink" Target="https://f95zone.to/threads/fate-squeeze-order-final-zanesfm.46670/" TargetMode="External"/><Relationship Id="rId279" Type="http://schemas.openxmlformats.org/officeDocument/2006/relationships/hyperlink" Target="https://f95zone.to/threads/school-boss-harem-v0-0-3-hot-hill.74109/" TargetMode="External"/><Relationship Id="rId157" Type="http://schemas.openxmlformats.org/officeDocument/2006/relationships/hyperlink" Target="https://f95zone.to/threads/my-teacher-is-a-webcam-model-v1-0-zebrapunk54.52725/" TargetMode="External"/><Relationship Id="rId278" Type="http://schemas.openxmlformats.org/officeDocument/2006/relationships/hyperlink" Target="https://f95zone.to/threads/sweet-desire-saga-v0-1-2-d-rster.73859/" TargetMode="External"/><Relationship Id="rId399" Type="http://schemas.openxmlformats.org/officeDocument/2006/relationships/hyperlink" Target="https://f95zone.to/threads/house-of-pandemonium-unity-edition-beta-8-throwawaylady.47776/" TargetMode="External"/><Relationship Id="rId156" Type="http://schemas.openxmlformats.org/officeDocument/2006/relationships/hyperlink" Target="https://f95zone.to/threads/love-change-v1-0c-double-moon.30900/" TargetMode="External"/><Relationship Id="rId277" Type="http://schemas.openxmlformats.org/officeDocument/2006/relationships/hyperlink" Target="https://f95zone.to/threads/the-desired-affair-v0-2-vitalsigns.71529/" TargetMode="External"/><Relationship Id="rId398" Type="http://schemas.openxmlformats.org/officeDocument/2006/relationships/hyperlink" Target="https://f95zone.to/threads/explore-with-charas-v0-69-kk2oven.131285/" TargetMode="External"/><Relationship Id="rId155" Type="http://schemas.openxmlformats.org/officeDocument/2006/relationships/hyperlink" Target="https://f95zone.to/threads/vixens-tail-v1-0-fluxcarnal.51546/" TargetMode="External"/><Relationship Id="rId276" Type="http://schemas.openxmlformats.org/officeDocument/2006/relationships/hyperlink" Target="https://f95zone.to/threads/health-class-v0-1-officiallygames.62682/" TargetMode="External"/><Relationship Id="rId397" Type="http://schemas.openxmlformats.org/officeDocument/2006/relationships/hyperlink" Target="https://f95zone.to/threads/ejaculation-supporter-final-vr-game-shop.131277/" TargetMode="External"/><Relationship Id="rId40" Type="http://schemas.openxmlformats.org/officeDocument/2006/relationships/hyperlink" Target="https://f95zone.to/threads/twisted-world-v0-5-public-snatsgames.70143/" TargetMode="External"/><Relationship Id="rId42" Type="http://schemas.openxmlformats.org/officeDocument/2006/relationships/hyperlink" Target="https://f95zone.to/threads/in-another-world-v0-0-3-hnd.86178/" TargetMode="External"/><Relationship Id="rId41" Type="http://schemas.openxmlformats.org/officeDocument/2006/relationships/hyperlink" Target="https://f95zone.to/threads/android-life-v0-35-1-matedolce.45823/" TargetMode="External"/><Relationship Id="rId44" Type="http://schemas.openxmlformats.org/officeDocument/2006/relationships/hyperlink" Target="https://f95zone.to/threads/depraved-town-forgotten-memories-v0-2-public-justanotherdegenerate.86135/" TargetMode="External"/><Relationship Id="rId43" Type="http://schemas.openxmlformats.org/officeDocument/2006/relationships/hyperlink" Target="https://f95zone.to/threads/public-sex-life-v0-35-paradicezone.36442/" TargetMode="External"/><Relationship Id="rId46" Type="http://schemas.openxmlformats.org/officeDocument/2006/relationships/hyperlink" Target="https://f95zone.to/threads/poke-ball-academia-2-final-zanesfm.62120/" TargetMode="External"/><Relationship Id="rId45" Type="http://schemas.openxmlformats.org/officeDocument/2006/relationships/hyperlink" Target="https://f95zone.to/threads/overlord-h-r48-winterfire.36056/" TargetMode="External"/><Relationship Id="rId509" Type="http://schemas.openxmlformats.org/officeDocument/2006/relationships/hyperlink" Target="https://f95zone.to/threads/kidnapped-by-the-mistress-v0-4-isvrat.150093/" TargetMode="External"/><Relationship Id="rId508" Type="http://schemas.openxmlformats.org/officeDocument/2006/relationships/hyperlink" Target="https://f95zone.to/threads/lost-in-you-v0-1-atrx.150211/" TargetMode="External"/><Relationship Id="rId629" Type="http://schemas.openxmlformats.org/officeDocument/2006/relationships/hyperlink" Target="https://f95zone.to/threads/academy-live-v0-01-alpha-passhonq.169917/" TargetMode="External"/><Relationship Id="rId503" Type="http://schemas.openxmlformats.org/officeDocument/2006/relationships/hyperlink" Target="https://f95zone.to/threads/a-day-with-makima-v0-1-momoki.148905/" TargetMode="External"/><Relationship Id="rId624" Type="http://schemas.openxmlformats.org/officeDocument/2006/relationships/hyperlink" Target="https://f95zone.to/threads/headpats-handholding-v0-01-insomnimaniac-games.169267/" TargetMode="External"/><Relationship Id="rId502" Type="http://schemas.openxmlformats.org/officeDocument/2006/relationships/hyperlink" Target="https://f95zone.to/threads/love-castaways-v0-1-0-spkiller31.148743/" TargetMode="External"/><Relationship Id="rId623" Type="http://schemas.openxmlformats.org/officeDocument/2006/relationships/hyperlink" Target="https://f95zone.to/threads/record-of-asturion-war-redux-v1-02-harold.169150/" TargetMode="External"/><Relationship Id="rId501" Type="http://schemas.openxmlformats.org/officeDocument/2006/relationships/hyperlink" Target="https://f95zone.to/threads/futa-fantasy-futa-ntr-v0-2-futa-fantasy.148182/" TargetMode="External"/><Relationship Id="rId622" Type="http://schemas.openxmlformats.org/officeDocument/2006/relationships/hyperlink" Target="https://f95zone.to/threads/spanking-ara-v0-11-spankbot.168844/" TargetMode="External"/><Relationship Id="rId500" Type="http://schemas.openxmlformats.org/officeDocument/2006/relationships/hyperlink" Target="https://f95zone.to/threads/trinity-fate-v0-1-lazy-gem.147981/" TargetMode="External"/><Relationship Id="rId621" Type="http://schemas.openxmlformats.org/officeDocument/2006/relationships/hyperlink" Target="https://f95zone.to/threads/neko-desktop-pet-18-v1-1-satyrking.168812/" TargetMode="External"/><Relationship Id="rId507" Type="http://schemas.openxmlformats.org/officeDocument/2006/relationships/hyperlink" Target="https://f95zone.to/threads/our-last-spring-v1-1-rad-lord.149458/" TargetMode="External"/><Relationship Id="rId628" Type="http://schemas.openxmlformats.org/officeDocument/2006/relationships/hyperlink" Target="https://f95zone.to/threads/konosuba-the-harem-adventures-v1-5b-emperoxxx-anime.169388/" TargetMode="External"/><Relationship Id="rId506" Type="http://schemas.openxmlformats.org/officeDocument/2006/relationships/hyperlink" Target="https://f95zone.to/threads/the-tacoverse-tales-v1-0-dontaco.149450/" TargetMode="External"/><Relationship Id="rId627" Type="http://schemas.openxmlformats.org/officeDocument/2006/relationships/hyperlink" Target="https://f95zone.to/threads/loop-train-play-pranks-on-a-girl-with-a-molestation-app-v1-00-mistilteinn.169277/" TargetMode="External"/><Relationship Id="rId505" Type="http://schemas.openxmlformats.org/officeDocument/2006/relationships/hyperlink" Target="https://f95zone.to/threads/total-submission-v0-01-fifty-five-games.149110/" TargetMode="External"/><Relationship Id="rId626" Type="http://schemas.openxmlformats.org/officeDocument/2006/relationships/hyperlink" Target="https://f95zone.to/threads/date-an-angel-v0-1-urimusha.169288/" TargetMode="External"/><Relationship Id="rId504" Type="http://schemas.openxmlformats.org/officeDocument/2006/relationships/hyperlink" Target="https://f95zone.to/threads/because-you-are-special-v1-0-psiandiameter.148965/" TargetMode="External"/><Relationship Id="rId625" Type="http://schemas.openxmlformats.org/officeDocument/2006/relationships/hyperlink" Target="https://f95zone.to/threads/welcome-to-alabama-its-legal-bro-v0-1-black-arts-theatre.169283/" TargetMode="External"/><Relationship Id="rId48" Type="http://schemas.openxmlformats.org/officeDocument/2006/relationships/hyperlink" Target="https://f95zone.to/threads/trouble-in-paradise-v0-10-3-public-syko134.61855/" TargetMode="External"/><Relationship Id="rId47" Type="http://schemas.openxmlformats.org/officeDocument/2006/relationships/hyperlink" Target="https://f95zone.to/threads/reboot-love-1-more-time-v0-9-96-reboot-love.97703/" TargetMode="External"/><Relationship Id="rId49" Type="http://schemas.openxmlformats.org/officeDocument/2006/relationships/hyperlink" Target="https://f95zone.to/threads/imotsuyo-if-its-for-my-young-sister-ill-be-stronger-v0-05-otaku_argento.101137/" TargetMode="External"/><Relationship Id="rId620" Type="http://schemas.openxmlformats.org/officeDocument/2006/relationships/hyperlink" Target="https://f95zone.to/threads/chaos-of-corruption-v1-0-slashxr.168769/" TargetMode="External"/><Relationship Id="rId31" Type="http://schemas.openxmlformats.org/officeDocument/2006/relationships/hyperlink" Target="https://f95zone.to/threads/vixens-tail-duskvale-v0-4-0-fluxcarnal.66857/" TargetMode="External"/><Relationship Id="rId30" Type="http://schemas.openxmlformats.org/officeDocument/2006/relationships/hyperlink" Target="https://f95zone.to/threads/lessons-in-love-v0-23-0-part-2-selebus.48158/" TargetMode="External"/><Relationship Id="rId33" Type="http://schemas.openxmlformats.org/officeDocument/2006/relationships/hyperlink" Target="https://f95zone.to/threads/changing-life-v0-4-1-wombatgames.92109/" TargetMode="External"/><Relationship Id="rId32" Type="http://schemas.openxmlformats.org/officeDocument/2006/relationships/hyperlink" Target="https://f95zone.to/threads/alter-love-v0-0-1-chiconet.111279/" TargetMode="External"/><Relationship Id="rId35" Type="http://schemas.openxmlformats.org/officeDocument/2006/relationships/hyperlink" Target="https://f95zone.to/threads/depraved-town-v0-9-5-final-justanotherdegenerate.56935/" TargetMode="External"/><Relationship Id="rId34" Type="http://schemas.openxmlformats.org/officeDocument/2006/relationships/hyperlink" Target="https://f95zone.to/threads/hs-tutor-v0-12-0-tk8000.13698/" TargetMode="External"/><Relationship Id="rId619" Type="http://schemas.openxmlformats.org/officeDocument/2006/relationships/hyperlink" Target="https://f95zone.to/threads/dezato-wasteland-v0-0-1-midnight-a.168602/" TargetMode="External"/><Relationship Id="rId618" Type="http://schemas.openxmlformats.org/officeDocument/2006/relationships/hyperlink" Target="https://f95zone.to/threads/lusting-my-religion-v0-1-1-pytem.168447/" TargetMode="External"/><Relationship Id="rId613" Type="http://schemas.openxmlformats.org/officeDocument/2006/relationships/hyperlink" Target="https://f95zone.to/threads/aki-bonbon-demo-tomboydrive.167435/" TargetMode="External"/><Relationship Id="rId612" Type="http://schemas.openxmlformats.org/officeDocument/2006/relationships/hyperlink" Target="https://f95zone.to/threads/salvation-in-nightmare-v0-3-2-funkymunke.166964/" TargetMode="External"/><Relationship Id="rId611" Type="http://schemas.openxmlformats.org/officeDocument/2006/relationships/hyperlink" Target="https://f95zone.to/threads/lustful-college-v0-1-tinkel-studios.166735/" TargetMode="External"/><Relationship Id="rId610" Type="http://schemas.openxmlformats.org/officeDocument/2006/relationships/hyperlink" Target="https://f95zone.to/threads/liberty-city-demo-leos-avn.166575/" TargetMode="External"/><Relationship Id="rId617" Type="http://schemas.openxmlformats.org/officeDocument/2006/relationships/hyperlink" Target="https://f95zone.to/threads/through-shattered-eyes-v0-2-oolycio.168124/" TargetMode="External"/><Relationship Id="rId616" Type="http://schemas.openxmlformats.org/officeDocument/2006/relationships/hyperlink" Target="https://f95zone.to/threads/sweet-little-mia-v1-0-proteccmaster.168087/" TargetMode="External"/><Relationship Id="rId615" Type="http://schemas.openxmlformats.org/officeDocument/2006/relationships/hyperlink" Target="https://f95zone.to/threads/jade-chamber-sunshine-v0-09-norkoala.167997/" TargetMode="External"/><Relationship Id="rId614" Type="http://schemas.openxmlformats.org/officeDocument/2006/relationships/hyperlink" Target="https://f95zone.to/threads/charming-waitress-v0-1-hakunak.167470/" TargetMode="External"/><Relationship Id="rId37" Type="http://schemas.openxmlformats.org/officeDocument/2006/relationships/hyperlink" Target="https://f95zone.to/threads/isor-v0-4-patreon-mystic-cro.107454/" TargetMode="External"/><Relationship Id="rId36" Type="http://schemas.openxmlformats.org/officeDocument/2006/relationships/hyperlink" Target="https://f95zone.to/threads/symphonic-love-v0-5-indiego-studios.90019/" TargetMode="External"/><Relationship Id="rId39" Type="http://schemas.openxmlformats.org/officeDocument/2006/relationships/hyperlink" Target="https://f95zone.to/threads/morgan-and-pestle-v0-1-cyborgturtle.107428/" TargetMode="External"/><Relationship Id="rId38" Type="http://schemas.openxmlformats.org/officeDocument/2006/relationships/hyperlink" Target="https://f95zone.to/threads/hom-factory-my-monster-girl-tower-v1-0-2-hom-factory-devs.68361/" TargetMode="External"/><Relationship Id="rId20" Type="http://schemas.openxmlformats.org/officeDocument/2006/relationships/hyperlink" Target="https://f95zone.to/threads/im-a-pimp-in-another-world-v0-2-arinasa.111099/" TargetMode="External"/><Relationship Id="rId22" Type="http://schemas.openxmlformats.org/officeDocument/2006/relationships/hyperlink" Target="https://f95zone.to/threads/genex-love-v0-1-0-reboot-love.109949/" TargetMode="External"/><Relationship Id="rId21" Type="http://schemas.openxmlformats.org/officeDocument/2006/relationships/hyperlink" Target="https://f95zone.to/threads/harem-residence-v0-05b-vendena.105411/" TargetMode="External"/><Relationship Id="rId24" Type="http://schemas.openxmlformats.org/officeDocument/2006/relationships/hyperlink" Target="https://f95zone.to/threads/champion-of-realms-v0-68-public-zimon.40009/" TargetMode="External"/><Relationship Id="rId23" Type="http://schemas.openxmlformats.org/officeDocument/2006/relationships/hyperlink" Target="https://f95zone.to/threads/konoha-training-v0-9-konohatraining.91481/" TargetMode="External"/><Relationship Id="rId409" Type="http://schemas.openxmlformats.org/officeDocument/2006/relationships/hyperlink" Target="https://f95zone.to/threads/koi-koi-vr-love-blossoms-demo-1-00-apricot-heart.131873/" TargetMode="External"/><Relationship Id="rId404" Type="http://schemas.openxmlformats.org/officeDocument/2006/relationships/hyperlink" Target="https://f95zone.to/threads/strip-strikers-demo-bravebengal.131752/" TargetMode="External"/><Relationship Id="rId525" Type="http://schemas.openxmlformats.org/officeDocument/2006/relationships/hyperlink" Target="https://f95zone.to/threads/space-gals-v0-1-1-assmodeus-unlimited-lewd-works.152448/" TargetMode="External"/><Relationship Id="rId646" Type="http://schemas.openxmlformats.org/officeDocument/2006/relationships/hyperlink" Target="https://f95zone.to/threads/back-to-the-roots-v0-1-0-the-priceless-beam.171456/" TargetMode="External"/><Relationship Id="rId403" Type="http://schemas.openxmlformats.org/officeDocument/2006/relationships/hyperlink" Target="https://f95zone.to/threads/grandpas-treasure-demo-lokitos.131634/" TargetMode="External"/><Relationship Id="rId524" Type="http://schemas.openxmlformats.org/officeDocument/2006/relationships/hyperlink" Target="https://f95zone.to/threads/pokestars-v0-01-shikashi-developer.152959/" TargetMode="External"/><Relationship Id="rId645" Type="http://schemas.openxmlformats.org/officeDocument/2006/relationships/hyperlink" Target="https://f95zone.to/threads/another-world-v1-0-0-maelstrom.171315/" TargetMode="External"/><Relationship Id="rId402" Type="http://schemas.openxmlformats.org/officeDocument/2006/relationships/hyperlink" Target="https://f95zone.to/threads/hololewd-manager-v2-1-akkasenpai.127573/" TargetMode="External"/><Relationship Id="rId523" Type="http://schemas.openxmlformats.org/officeDocument/2006/relationships/hyperlink" Target="https://f95zone.to/threads/futanari-concoction-ch-1-02-faust-seiker.152835/" TargetMode="External"/><Relationship Id="rId644" Type="http://schemas.openxmlformats.org/officeDocument/2006/relationships/hyperlink" Target="https://f95zone.to/threads/demon-wake-v1-0-rebel-morgan-gaming.170806/" TargetMode="External"/><Relationship Id="rId401" Type="http://schemas.openxmlformats.org/officeDocument/2006/relationships/hyperlink" Target="https://f95zone.to/threads/shadow-guardian-v0-1-nolosetio.131572/" TargetMode="External"/><Relationship Id="rId522" Type="http://schemas.openxmlformats.org/officeDocument/2006/relationships/hyperlink" Target="https://f95zone.to/threads/the-lewd-corruption-of-the-heaven-alpha-0-0-5-sedhaild.152632/" TargetMode="External"/><Relationship Id="rId643" Type="http://schemas.openxmlformats.org/officeDocument/2006/relationships/hyperlink" Target="https://f95zone.to/threads/bloom-war-v0-11-ath-games.105913/" TargetMode="External"/><Relationship Id="rId408" Type="http://schemas.openxmlformats.org/officeDocument/2006/relationships/hyperlink" Target="https://f95zone.to/threads/cycles-of-sin-v0-0-1b-nutjobep.131946/" TargetMode="External"/><Relationship Id="rId529" Type="http://schemas.openxmlformats.org/officeDocument/2006/relationships/hyperlink" Target="https://f95zone.to/threads/paradise-island-v0-1a-sweet-cherry.153820/" TargetMode="External"/><Relationship Id="rId407" Type="http://schemas.openxmlformats.org/officeDocument/2006/relationships/hyperlink" Target="https://f95zone.to/threads/regesterex-0-0-7-scarlet-moon-project.131833/" TargetMode="External"/><Relationship Id="rId528" Type="http://schemas.openxmlformats.org/officeDocument/2006/relationships/hyperlink" Target="https://f95zone.to/threads/fate-grand-flat-v1-fategrandflat.153527/" TargetMode="External"/><Relationship Id="rId649" Type="http://schemas.openxmlformats.org/officeDocument/2006/relationships/hyperlink" Target="https://f95zone.to/threads/cursed-love-v0-1-0-ojot.172211/" TargetMode="External"/><Relationship Id="rId406" Type="http://schemas.openxmlformats.org/officeDocument/2006/relationships/hyperlink" Target="https://f95zone.to/threads/mirror-2-project-x-build-9519860-kagami-ii-works.105953/" TargetMode="External"/><Relationship Id="rId527" Type="http://schemas.openxmlformats.org/officeDocument/2006/relationships/hyperlink" Target="https://f95zone.to/threads/succubus-nightmare-3-final-animism.153560/" TargetMode="External"/><Relationship Id="rId648" Type="http://schemas.openxmlformats.org/officeDocument/2006/relationships/hyperlink" Target="https://f95zone.to/threads/sakura-segment-v1-0-ulimworks.172178/" TargetMode="External"/><Relationship Id="rId405" Type="http://schemas.openxmlformats.org/officeDocument/2006/relationships/hyperlink" Target="https://f95zone.to/threads/bandits-assault-final-draga.294/" TargetMode="External"/><Relationship Id="rId526" Type="http://schemas.openxmlformats.org/officeDocument/2006/relationships/hyperlink" Target="https://f95zone.to/threads/her-fallen-a-netori-story-v0-11-warrior-novels.153538/" TargetMode="External"/><Relationship Id="rId647" Type="http://schemas.openxmlformats.org/officeDocument/2006/relationships/hyperlink" Target="https://f95zone.to/threads/pic_intruder-v0-01-intro-luna.172090/" TargetMode="External"/><Relationship Id="rId26" Type="http://schemas.openxmlformats.org/officeDocument/2006/relationships/hyperlink" Target="https://f95zone.to/threads/wolf-complex-v0-0-2-recentlyluckyman.115051/" TargetMode="External"/><Relationship Id="rId25" Type="http://schemas.openxmlformats.org/officeDocument/2006/relationships/hyperlink" Target="https://f95zone.to/threads/melatonin-magiks-ch-3-v2-1-lacokagaming.67426/" TargetMode="External"/><Relationship Id="rId28" Type="http://schemas.openxmlformats.org/officeDocument/2006/relationships/hyperlink" Target="https://f95zone.to/threads/school-of-love-clubs-v0-1-6-nijukozo.67907/" TargetMode="External"/><Relationship Id="rId27" Type="http://schemas.openxmlformats.org/officeDocument/2006/relationships/hyperlink" Target="https://f95zone.to/threads/my-fantasy-harem-v0-2-avian.110821/" TargetMode="External"/><Relationship Id="rId400" Type="http://schemas.openxmlformats.org/officeDocument/2006/relationships/hyperlink" Target="https://f95zone.to/threads/cursed-estate-v0-1-grimdeity.131553/" TargetMode="External"/><Relationship Id="rId521" Type="http://schemas.openxmlformats.org/officeDocument/2006/relationships/hyperlink" Target="https://f95zone.to/threads/projekt-moon-alpha-ch-1-0-the-magical-gurl.152662/" TargetMode="External"/><Relationship Id="rId642" Type="http://schemas.openxmlformats.org/officeDocument/2006/relationships/hyperlink" Target="https://f95zone.to/threads/tropicali-v0-4-story-anon.170751/" TargetMode="External"/><Relationship Id="rId29" Type="http://schemas.openxmlformats.org/officeDocument/2006/relationships/hyperlink" Target="https://f95zone.to/threads/lewd-town-adventures-v0-10-jamleng-games.61000/" TargetMode="External"/><Relationship Id="rId520" Type="http://schemas.openxmlformats.org/officeDocument/2006/relationships/hyperlink" Target="https://f95zone.to/threads/rise-of-corruption-v0-1-0-fix-umarius.152481/" TargetMode="External"/><Relationship Id="rId641" Type="http://schemas.openxmlformats.org/officeDocument/2006/relationships/hyperlink" Target="https://f95zone.to/threads/moemon-isekai-v-0-2-salek.170713/" TargetMode="External"/><Relationship Id="rId640" Type="http://schemas.openxmlformats.org/officeDocument/2006/relationships/hyperlink" Target="https://f95zone.to/threads/brothel-house-v0-0-1-lustfulart.170702/" TargetMode="External"/><Relationship Id="rId11" Type="http://schemas.openxmlformats.org/officeDocument/2006/relationships/hyperlink" Target="https://f95zone.to/threads/falling-stars-v0-3-4-nyatd.104531/" TargetMode="External"/><Relationship Id="rId10" Type="http://schemas.openxmlformats.org/officeDocument/2006/relationships/hyperlink" Target="https://f95zone.to/threads/love-at-first-tail-v0-3-mrdracosaurus.111418/" TargetMode="External"/><Relationship Id="rId13" Type="http://schemas.openxmlformats.org/officeDocument/2006/relationships/hyperlink" Target="https://f95zone.to/threads/corrupted-kingdoms-v0-15-0a-arcgames.31912/" TargetMode="External"/><Relationship Id="rId12" Type="http://schemas.openxmlformats.org/officeDocument/2006/relationships/hyperlink" Target="https://f95zone.to/threads/black-rabbit-trainer-v0-2-4-public-jellyfluff-games.105145/" TargetMode="External"/><Relationship Id="rId519" Type="http://schemas.openxmlformats.org/officeDocument/2006/relationships/hyperlink" Target="https://f95zone.to/threads/hentai-fighters-vr-v0-8-0-muhuhu.64719/" TargetMode="External"/><Relationship Id="rId514" Type="http://schemas.openxmlformats.org/officeDocument/2006/relationships/hyperlink" Target="https://f95zone.to/threads/realm-of-lust-v1-0-luchetty.151422/" TargetMode="External"/><Relationship Id="rId635" Type="http://schemas.openxmlformats.org/officeDocument/2006/relationships/hyperlink" Target="https://f95zone.to/threads/my-teacher-is-bankrupt-v0-1-adm-studios.170456/" TargetMode="External"/><Relationship Id="rId513" Type="http://schemas.openxmlformats.org/officeDocument/2006/relationships/hyperlink" Target="https://f95zone.to/threads/chainsaw-man-hot-spring-travel-final-fujino.151412/" TargetMode="External"/><Relationship Id="rId634" Type="http://schemas.openxmlformats.org/officeDocument/2006/relationships/hyperlink" Target="https://f95zone.to/threads/5-stars-cops-beta-v0-5-frozen-haze.170330/" TargetMode="External"/><Relationship Id="rId512" Type="http://schemas.openxmlformats.org/officeDocument/2006/relationships/hyperlink" Target="https://f95zone.to/threads/oversimp-v0-2-oversimp.150626/" TargetMode="External"/><Relationship Id="rId633" Type="http://schemas.openxmlformats.org/officeDocument/2006/relationships/hyperlink" Target="https://f95zone.to/threads/cats-in-heat-convenience-coworkers-final-artoonu.170484/" TargetMode="External"/><Relationship Id="rId511" Type="http://schemas.openxmlformats.org/officeDocument/2006/relationships/hyperlink" Target="https://f95zone.to/threads/no-love-demo-jooh-jooh.150578/" TargetMode="External"/><Relationship Id="rId632" Type="http://schemas.openxmlformats.org/officeDocument/2006/relationships/hyperlink" Target="https://f95zone.to/threads/a-day-by-the-sea-v1-00-purplepanties.170301/" TargetMode="External"/><Relationship Id="rId518" Type="http://schemas.openxmlformats.org/officeDocument/2006/relationships/hyperlink" Target="https://f95zone.to/threads/love-odyssey-v0-0-1b-liquid-dream.152161/" TargetMode="External"/><Relationship Id="rId639" Type="http://schemas.openxmlformats.org/officeDocument/2006/relationships/hyperlink" Target="https://f95zone.to/threads/the-seam-v1-0-goodbyehappiness.170691/" TargetMode="External"/><Relationship Id="rId517" Type="http://schemas.openxmlformats.org/officeDocument/2006/relationships/hyperlink" Target="https://f95zone.to/threads/breed-laboratory-v0-30-moeymoey.92862/" TargetMode="External"/><Relationship Id="rId638" Type="http://schemas.openxmlformats.org/officeDocument/2006/relationships/hyperlink" Target="https://f95zone.to/threads/naruto-trainer-v0-5-luchetty.170630/" TargetMode="External"/><Relationship Id="rId516" Type="http://schemas.openxmlformats.org/officeDocument/2006/relationships/hyperlink" Target="https://f95zone.to/threads/agent-672-v0-1-ges-studios.151398/" TargetMode="External"/><Relationship Id="rId637" Type="http://schemas.openxmlformats.org/officeDocument/2006/relationships/hyperlink" Target="https://f95zone.to/threads/the-legend-of-the-hero-of-edoriam-0-1-0b-pyrthenix.170570/" TargetMode="External"/><Relationship Id="rId515" Type="http://schemas.openxmlformats.org/officeDocument/2006/relationships/hyperlink" Target="https://f95zone.to/threads/multiversal-waifus-demo-dan.151512/" TargetMode="External"/><Relationship Id="rId636" Type="http://schemas.openxmlformats.org/officeDocument/2006/relationships/hyperlink" Target="https://f95zone.to/threads/lusty-help-v0-1-hicharlotte.170550/" TargetMode="External"/><Relationship Id="rId15" Type="http://schemas.openxmlformats.org/officeDocument/2006/relationships/hyperlink" Target="https://f95zone.to/threads/adventurer-trainer-v0-1-4-pastryirl.101740/" TargetMode="External"/><Relationship Id="rId14" Type="http://schemas.openxmlformats.org/officeDocument/2006/relationships/hyperlink" Target="https://f95zone.to/threads/reboot-love-part-2-v2-4-5-reboot-love.97700/" TargetMode="External"/><Relationship Id="rId17" Type="http://schemas.openxmlformats.org/officeDocument/2006/relationships/hyperlink" Target="https://f95zone.to/threads/scarlet-law-v0-2-10-jyp-games.63712/" TargetMode="External"/><Relationship Id="rId16" Type="http://schemas.openxmlformats.org/officeDocument/2006/relationships/hyperlink" Target="https://f95zone.to/threads/demons-of-the-hearth-v0-5-1-bugfix-konvel.83974/" TargetMode="External"/><Relationship Id="rId19" Type="http://schemas.openxmlformats.org/officeDocument/2006/relationships/hyperlink" Target="https://f95zone.to/threads/lust-age-v0-9-1-public-keisi.80495/" TargetMode="External"/><Relationship Id="rId510" Type="http://schemas.openxmlformats.org/officeDocument/2006/relationships/hyperlink" Target="https://f95zone.to/threads/day-of-fate-v0-1-fantasee.150543/" TargetMode="External"/><Relationship Id="rId631" Type="http://schemas.openxmlformats.org/officeDocument/2006/relationships/hyperlink" Target="https://f95zone.to/threads/new-friend-senpai-demo-labatut.170292/" TargetMode="External"/><Relationship Id="rId18" Type="http://schemas.openxmlformats.org/officeDocument/2006/relationships/hyperlink" Target="https://f95zone.to/threads/fantasy-opposite-v0-2-2-thirtysevengaming.112110/" TargetMode="External"/><Relationship Id="rId630" Type="http://schemas.openxmlformats.org/officeDocument/2006/relationships/hyperlink" Target="https://f95zone.to/threads/dungeon-of-meat-v1-05-pompompain.170119/" TargetMode="External"/><Relationship Id="rId84" Type="http://schemas.openxmlformats.org/officeDocument/2006/relationships/hyperlink" Target="https://f95zone.to/threads/keepers-1-revolution-v0-03c-lumari.108744/" TargetMode="External"/><Relationship Id="rId83" Type="http://schemas.openxmlformats.org/officeDocument/2006/relationships/hyperlink" Target="https://f95zone.to/threads/crystal-minds-v0-2-kunyoby.101490/" TargetMode="External"/><Relationship Id="rId86" Type="http://schemas.openxmlformats.org/officeDocument/2006/relationships/hyperlink" Target="https://f95zone.to/threads/dreamland-wanderer-ch-3-part-1-shli.100484/" TargetMode="External"/><Relationship Id="rId85" Type="http://schemas.openxmlformats.org/officeDocument/2006/relationships/hyperlink" Target="https://f95zone.to/threads/a-better-place-ch-2-thelostone.89008/" TargetMode="External"/><Relationship Id="rId88" Type="http://schemas.openxmlformats.org/officeDocument/2006/relationships/hyperlink" Target="https://f95zone.to/threads/natsumi-love-story-v0-3-steradianfauns.97651/" TargetMode="External"/><Relationship Id="rId87" Type="http://schemas.openxmlformats.org/officeDocument/2006/relationships/hyperlink" Target="https://f95zone.to/threads/jump-harem-v0-14-arkleoff.98585/" TargetMode="External"/><Relationship Id="rId89" Type="http://schemas.openxmlformats.org/officeDocument/2006/relationships/hyperlink" Target="https://f95zone.to/threads/nsfw-natural-selection-female-wrestling-prologue-remastered-nsfw-gamer.88342/" TargetMode="External"/><Relationship Id="rId80" Type="http://schemas.openxmlformats.org/officeDocument/2006/relationships/hyperlink" Target="https://f95zone.to/threads/klee-prank-adventure-v1-8-pinkmochidango.90885/" TargetMode="External"/><Relationship Id="rId82" Type="http://schemas.openxmlformats.org/officeDocument/2006/relationships/hyperlink" Target="https://f95zone.to/threads/perfect-pitch-v0-2-soundsommelier.107836/" TargetMode="External"/><Relationship Id="rId81" Type="http://schemas.openxmlformats.org/officeDocument/2006/relationships/hyperlink" Target="https://f95zone.to/threads/fantasy-school-v0-5-darklender-studios.104235/" TargetMode="External"/><Relationship Id="rId701" Type="http://schemas.openxmlformats.org/officeDocument/2006/relationships/hyperlink" Target="https://f95zone.to/threads/kawaii-slime-arena-2022-06-07-mitsuki-game-studio.180175/" TargetMode="External"/><Relationship Id="rId700" Type="http://schemas.openxmlformats.org/officeDocument/2006/relationships/hyperlink" Target="https://f95zone.to/threads/to-lala-ru-prologue-project-oak.181537/" TargetMode="External"/><Relationship Id="rId704" Type="http://schemas.openxmlformats.org/officeDocument/2006/relationships/vmlDrawing" Target="../drawings/vmlDrawing1.vml"/><Relationship Id="rId703" Type="http://schemas.openxmlformats.org/officeDocument/2006/relationships/drawing" Target="../drawings/drawing1.xml"/><Relationship Id="rId702" Type="http://schemas.openxmlformats.org/officeDocument/2006/relationships/hyperlink" Target="https://f95zone.to/threads/sweet-nightclub-final-surf-pixels.181751/" TargetMode="External"/><Relationship Id="rId73" Type="http://schemas.openxmlformats.org/officeDocument/2006/relationships/hyperlink" Target="https://f95zone.to/threads/shy-girl-v0-495-shygirlart.85069/" TargetMode="External"/><Relationship Id="rId72" Type="http://schemas.openxmlformats.org/officeDocument/2006/relationships/hyperlink" Target="https://f95zone.to/threads/goddesses-whim-v0-1-5-public-ncrow.101869/" TargetMode="External"/><Relationship Id="rId75" Type="http://schemas.openxmlformats.org/officeDocument/2006/relationships/hyperlink" Target="https://f95zone.to/threads/one-piece-lost-at-sea-v0-1a-dochino.118031/" TargetMode="External"/><Relationship Id="rId74" Type="http://schemas.openxmlformats.org/officeDocument/2006/relationships/hyperlink" Target="https://f95zone.to/threads/memories-of-a-dream-v0-3-memori-dev.102567/" TargetMode="External"/><Relationship Id="rId77" Type="http://schemas.openxmlformats.org/officeDocument/2006/relationships/hyperlink" Target="https://f95zone.to/threads/summer-mc-that-time-i-found-a-magic-hypno-book-v0-7-hypnoink.81638/" TargetMode="External"/><Relationship Id="rId76" Type="http://schemas.openxmlformats.org/officeDocument/2006/relationships/hyperlink" Target="https://f95zone.to/threads/tutor-2-still-hard-at-work-v1-2-nephremka.65776/" TargetMode="External"/><Relationship Id="rId79" Type="http://schemas.openxmlformats.org/officeDocument/2006/relationships/hyperlink" Target="https://f95zone.to/threads/failing-to-fathom-v0-3-twohands.79589/" TargetMode="External"/><Relationship Id="rId78" Type="http://schemas.openxmlformats.org/officeDocument/2006/relationships/hyperlink" Target="https://f95zone.to/threads/sexual-interest-v0-1-1-armoreau.99789/" TargetMode="External"/><Relationship Id="rId71" Type="http://schemas.openxmlformats.org/officeDocument/2006/relationships/hyperlink" Target="https://f95zone.to/threads/surrendering-to-my-crush-v0-4-bolskanlewd.107389/" TargetMode="External"/><Relationship Id="rId70" Type="http://schemas.openxmlformats.org/officeDocument/2006/relationships/hyperlink" Target="https://f95zone.to/threads/god-void-v0-1-6-b1-elrath-creations.88214/" TargetMode="External"/><Relationship Id="rId62" Type="http://schemas.openxmlformats.org/officeDocument/2006/relationships/hyperlink" Target="https://f95zone.to/threads/battlearenareyka-v0-0-1a-artisnal-depravity.119792/" TargetMode="External"/><Relationship Id="rId61" Type="http://schemas.openxmlformats.org/officeDocument/2006/relationships/hyperlink" Target="https://f95zone.to/threads/from-the-eclipse-v0-1-8b-erochaser.98051/" TargetMode="External"/><Relationship Id="rId64" Type="http://schemas.openxmlformats.org/officeDocument/2006/relationships/hyperlink" Target="https://f95zone.to/threads/new-life-v0-1-sheepyworksgames.119665/" TargetMode="External"/><Relationship Id="rId63" Type="http://schemas.openxmlformats.org/officeDocument/2006/relationships/hyperlink" Target="https://f95zone.to/threads/all-demons-go-to-heaven-v7-4b-sedhaild.59298/" TargetMode="External"/><Relationship Id="rId66" Type="http://schemas.openxmlformats.org/officeDocument/2006/relationships/hyperlink" Target="https://f95zone.to/threads/delusion-v0-3-shirahoshi-studio.104209/" TargetMode="External"/><Relationship Id="rId65" Type="http://schemas.openxmlformats.org/officeDocument/2006/relationships/hyperlink" Target="https://f95zone.to/threads/my-time-with-you-book-2-ch-13-eolostudios.80371/" TargetMode="External"/><Relationship Id="rId68" Type="http://schemas.openxmlformats.org/officeDocument/2006/relationships/hyperlink" Target="https://f95zone.to/threads/sensei-overnight-v0-11-0-pers0nas.69348/" TargetMode="External"/><Relationship Id="rId67" Type="http://schemas.openxmlformats.org/officeDocument/2006/relationships/hyperlink" Target="https://f95zone.to/threads/crimson-high-v0-12-1-vertigo.94642/" TargetMode="External"/><Relationship Id="rId609" Type="http://schemas.openxmlformats.org/officeDocument/2006/relationships/hyperlink" Target="https://f95zone.to/threads/destinies-intertwined-teaser-kyno.166515/" TargetMode="External"/><Relationship Id="rId608" Type="http://schemas.openxmlformats.org/officeDocument/2006/relationships/hyperlink" Target="https://f95zone.to/threads/i-love-woman-v0-1-gamesofaldo.166453/" TargetMode="External"/><Relationship Id="rId607" Type="http://schemas.openxmlformats.org/officeDocument/2006/relationships/hyperlink" Target="https://f95zone.to/threads/daemons-damsels-mythical-milfs-remastered-demo-arioh-daerthe.166052/" TargetMode="External"/><Relationship Id="rId60" Type="http://schemas.openxmlformats.org/officeDocument/2006/relationships/hyperlink" Target="https://f95zone.to/threads/the-nobody-in-a-heros-world-ep-1-part-1-duckdevgames.120333/" TargetMode="External"/><Relationship Id="rId602" Type="http://schemas.openxmlformats.org/officeDocument/2006/relationships/hyperlink" Target="https://f95zone.to/threads/her-fall-v0-1-twizsin.165099/" TargetMode="External"/><Relationship Id="rId601" Type="http://schemas.openxmlformats.org/officeDocument/2006/relationships/hyperlink" Target="https://f95zone.to/threads/shinos-sp-boardgame-v0-21-garnet.145672/" TargetMode="External"/><Relationship Id="rId600" Type="http://schemas.openxmlformats.org/officeDocument/2006/relationships/hyperlink" Target="https://f95zone.to/threads/my-neighbors-lonely-wife-final-yasaniki.164978/" TargetMode="External"/><Relationship Id="rId606" Type="http://schemas.openxmlformats.org/officeDocument/2006/relationships/hyperlink" Target="https://f95zone.to/threads/perfect-pitch-v0-7-soundsommelier.107836/" TargetMode="External"/><Relationship Id="rId605" Type="http://schemas.openxmlformats.org/officeDocument/2006/relationships/hyperlink" Target="https://f95zone.to/threads/the-last-necromancer-v-1-2-bandai_.165594/" TargetMode="External"/><Relationship Id="rId604" Type="http://schemas.openxmlformats.org/officeDocument/2006/relationships/hyperlink" Target="https://f95zone.to/threads/my-private-tutor-dating-sim-ch1-01-kintarodev.165416/" TargetMode="External"/><Relationship Id="rId603" Type="http://schemas.openxmlformats.org/officeDocument/2006/relationships/hyperlink" Target="https://f95zone.to/threads/the-harem-of-the-demon-lord-v0-1-0-lordpatrick.165215/" TargetMode="External"/><Relationship Id="rId69" Type="http://schemas.openxmlformats.org/officeDocument/2006/relationships/hyperlink" Target="https://f95zone.to/threads/free-use-planet-v0-1-0-kyuso.119066/" TargetMode="External"/><Relationship Id="rId51" Type="http://schemas.openxmlformats.org/officeDocument/2006/relationships/hyperlink" Target="https://f95zone.to/threads/pokegirl-paradise-v0-3-slormo.112055/" TargetMode="External"/><Relationship Id="rId50" Type="http://schemas.openxmlformats.org/officeDocument/2006/relationships/hyperlink" Target="https://f95zone.to/threads/doki-doki-hentai-club-v0-6-daraus.115050/" TargetMode="External"/><Relationship Id="rId53" Type="http://schemas.openxmlformats.org/officeDocument/2006/relationships/hyperlink" Target="https://f95zone.to/threads/granter-of-your-desires-v0-12-maxcoffee.105844/" TargetMode="External"/><Relationship Id="rId52" Type="http://schemas.openxmlformats.org/officeDocument/2006/relationships/hyperlink" Target="https://f95zone.to/threads/somatra-v0-9a-somatra.90478/" TargetMode="External"/><Relationship Id="rId55" Type="http://schemas.openxmlformats.org/officeDocument/2006/relationships/hyperlink" Target="https://f95zone.to/threads/the-young-master-v0-01-public-purunga.120566/" TargetMode="External"/><Relationship Id="rId54" Type="http://schemas.openxmlformats.org/officeDocument/2006/relationships/hyperlink" Target="https://f95zone.to/threads/adventurestudio-2022-06-16-adventurestudio.120642/" TargetMode="External"/><Relationship Id="rId57" Type="http://schemas.openxmlformats.org/officeDocument/2006/relationships/hyperlink" Target="https://f95zone.to/threads/training-slayer-v6-0-public-bokundev.114021/" TargetMode="External"/><Relationship Id="rId56" Type="http://schemas.openxmlformats.org/officeDocument/2006/relationships/hyperlink" Target="https://f95zone.to/threads/takeis-journey-v0-12-2-ferrum.82236/" TargetMode="External"/><Relationship Id="rId59" Type="http://schemas.openxmlformats.org/officeDocument/2006/relationships/hyperlink" Target="https://f95zone.to/threads/heavenly-peaks-cultivation-v2-0-my-big-little-brother.84435/" TargetMode="External"/><Relationship Id="rId58" Type="http://schemas.openxmlformats.org/officeDocument/2006/relationships/hyperlink" Target="https://f95zone.to/threads/man-of-culture-ch-3-mryourass.111330/" TargetMode="External"/><Relationship Id="rId590" Type="http://schemas.openxmlformats.org/officeDocument/2006/relationships/hyperlink" Target="https://f95zone.to/threads/just-futanari-demo-gamessafu.163271/" TargetMode="External"/><Relationship Id="rId107" Type="http://schemas.openxmlformats.org/officeDocument/2006/relationships/hyperlink" Target="https://f95zone.to/threads/two-sides-of-the-same-coin-v0-2-0-dajamtssc.101492/" TargetMode="External"/><Relationship Id="rId228" Type="http://schemas.openxmlformats.org/officeDocument/2006/relationships/hyperlink" Target="https://f95zone.to/threads/the-fairy-tale-of-holy-knight-ricca-two-winged-sisters-v1-1-8-mogurasoft.89059/" TargetMode="External"/><Relationship Id="rId349" Type="http://schemas.openxmlformats.org/officeDocument/2006/relationships/hyperlink" Target="https://f95zone.to/threads/endara-chronicles-the-apothecary-v0-1d-soniram.123352/" TargetMode="External"/><Relationship Id="rId106" Type="http://schemas.openxmlformats.org/officeDocument/2006/relationships/hyperlink" Target="https://f95zone.to/threads/teens-v0-2-5-catsudev.104924/" TargetMode="External"/><Relationship Id="rId227" Type="http://schemas.openxmlformats.org/officeDocument/2006/relationships/hyperlink" Target="https://f95zone.to/threads/the-fixer-v0-2-40-0-sam_tail.66244/" TargetMode="External"/><Relationship Id="rId348" Type="http://schemas.openxmlformats.org/officeDocument/2006/relationships/hyperlink" Target="https://f95zone.to/threads/academy-of-the-elite-v0-1-chaosborn.123355/" TargetMode="External"/><Relationship Id="rId469" Type="http://schemas.openxmlformats.org/officeDocument/2006/relationships/hyperlink" Target="https://f95zone.to/threads/the-grace-of-fate-demo-hentaku.139685/" TargetMode="External"/><Relationship Id="rId105" Type="http://schemas.openxmlformats.org/officeDocument/2006/relationships/hyperlink" Target="https://f95zone.to/threads/slave-idol-project-day-4-jerry-beans-man.110907/" TargetMode="External"/><Relationship Id="rId226" Type="http://schemas.openxmlformats.org/officeDocument/2006/relationships/hyperlink" Target="https://f95zone.to/threads/sexy-minesweep-v1-2-ambir.104926/" TargetMode="External"/><Relationship Id="rId347" Type="http://schemas.openxmlformats.org/officeDocument/2006/relationships/hyperlink" Target="https://f95zone.to/threads/vkotegawa-hypnotic-exhibitionist-story-v0-21-aquinas.123225/" TargetMode="External"/><Relationship Id="rId468" Type="http://schemas.openxmlformats.org/officeDocument/2006/relationships/hyperlink" Target="https://f95zone.to/threads/pornonormal-activity-v0-5-mad-ratz-games.141983/" TargetMode="External"/><Relationship Id="rId589" Type="http://schemas.openxmlformats.org/officeDocument/2006/relationships/hyperlink" Target="https://f95zone.to/threads/trinity-fate-prologue-v0-1-lazy-gem.163154/" TargetMode="External"/><Relationship Id="rId104" Type="http://schemas.openxmlformats.org/officeDocument/2006/relationships/hyperlink" Target="https://f95zone.to/threads/the-tune-of-your-death-v0-3-morpheus03.105966/" TargetMode="External"/><Relationship Id="rId225" Type="http://schemas.openxmlformats.org/officeDocument/2006/relationships/hyperlink" Target="https://f95zone.to/threads/succubus-research-diary-v1-2-0-arcus-plume.93534/" TargetMode="External"/><Relationship Id="rId346" Type="http://schemas.openxmlformats.org/officeDocument/2006/relationships/hyperlink" Target="https://f95zone.to/threads/ordinary-daily-ghosts-s1-e1-v0-9-nudaludo.123072/" TargetMode="External"/><Relationship Id="rId467" Type="http://schemas.openxmlformats.org/officeDocument/2006/relationships/hyperlink" Target="https://f95zone.to/threads/demons-servant-v0-01-demons-servant.141742/" TargetMode="External"/><Relationship Id="rId588" Type="http://schemas.openxmlformats.org/officeDocument/2006/relationships/hyperlink" Target="https://f95zone.to/threads/hyperdeep-v0-5-hyper.66226/" TargetMode="External"/><Relationship Id="rId109" Type="http://schemas.openxmlformats.org/officeDocument/2006/relationships/hyperlink" Target="https://f95zone.to/threads/patter-ch-2-part-1-kalloway.107835/" TargetMode="External"/><Relationship Id="rId108" Type="http://schemas.openxmlformats.org/officeDocument/2006/relationships/hyperlink" Target="https://f95zone.to/threads/slaves-v0-1c-avaque.84877/" TargetMode="External"/><Relationship Id="rId229" Type="http://schemas.openxmlformats.org/officeDocument/2006/relationships/hyperlink" Target="https://f95zone.to/threads/trampling-town-v0-11-aery.101737/" TargetMode="External"/><Relationship Id="rId220" Type="http://schemas.openxmlformats.org/officeDocument/2006/relationships/hyperlink" Target="https://f95zone.to/threads/waifu-the-school-final-introdream-arts.55974/" TargetMode="External"/><Relationship Id="rId341" Type="http://schemas.openxmlformats.org/officeDocument/2006/relationships/hyperlink" Target="https://f95zone.to/threads/b-p-k-boom-pow-kablam-v0-1-spoinker.122426/" TargetMode="External"/><Relationship Id="rId462" Type="http://schemas.openxmlformats.org/officeDocument/2006/relationships/hyperlink" Target="https://f95zone.to/threads/the-caretaker-v0-02-icecreamparty.140541/" TargetMode="External"/><Relationship Id="rId583" Type="http://schemas.openxmlformats.org/officeDocument/2006/relationships/hyperlink" Target="https://f95zone.to/threads/genuine-hero-v0-1-1-eltomaso.161845/" TargetMode="External"/><Relationship Id="rId340" Type="http://schemas.openxmlformats.org/officeDocument/2006/relationships/hyperlink" Target="https://f95zone.to/threads/z-fighter-training-v0-1-daraus.122360/" TargetMode="External"/><Relationship Id="rId461" Type="http://schemas.openxmlformats.org/officeDocument/2006/relationships/hyperlink" Target="https://f95zone.to/threads/gods-blessing-on-this-cursed-ring-v0-1-0-a-xxxcodedxxx.140092/" TargetMode="External"/><Relationship Id="rId582" Type="http://schemas.openxmlformats.org/officeDocument/2006/relationships/hyperlink" Target="https://f95zone.to/threads/all-faded-demo-grimdeity.160893/" TargetMode="External"/><Relationship Id="rId460" Type="http://schemas.openxmlformats.org/officeDocument/2006/relationships/hyperlink" Target="https://f95zone.to/threads/isekai-brothel-v0-2-isekai-brothel.139790/" TargetMode="External"/><Relationship Id="rId581" Type="http://schemas.openxmlformats.org/officeDocument/2006/relationships/hyperlink" Target="https://f95zone.to/threads/due-to-my-new-situation-i-have-to-corrupt-my-friends-harem-v-0-11-warrior-novels.161637/" TargetMode="External"/><Relationship Id="rId580" Type="http://schemas.openxmlformats.org/officeDocument/2006/relationships/hyperlink" Target="https://f95zone.to/threads/lust-warrior-2023-04-26-mytgd.156092/" TargetMode="External"/><Relationship Id="rId103" Type="http://schemas.openxmlformats.org/officeDocument/2006/relationships/hyperlink" Target="https://f95zone.to/threads/feelings-of-love-v1-0-kraguto-games.111799/" TargetMode="External"/><Relationship Id="rId224" Type="http://schemas.openxmlformats.org/officeDocument/2006/relationships/hyperlink" Target="https://f95zone.to/threads/lilys-handmaid-v1-4-0-arcus-plume.51021/" TargetMode="External"/><Relationship Id="rId345" Type="http://schemas.openxmlformats.org/officeDocument/2006/relationships/hyperlink" Target="https://f95zone.to/threads/symphony-of-the-void-prologue-mad-doc.122881/" TargetMode="External"/><Relationship Id="rId466" Type="http://schemas.openxmlformats.org/officeDocument/2006/relationships/hyperlink" Target="https://f95zone.to/threads/i-fell-in-love-v1-0-mrmictlan.141270/" TargetMode="External"/><Relationship Id="rId587" Type="http://schemas.openxmlformats.org/officeDocument/2006/relationships/hyperlink" Target="https://f95zone.to/threads/something-better-v0-1-5-datarco.162997/" TargetMode="External"/><Relationship Id="rId102" Type="http://schemas.openxmlformats.org/officeDocument/2006/relationships/hyperlink" Target="https://f95zone.to/threads/long-lost-daughter-ch-1-8-fix-tawny-fairquim-frolics.54870/" TargetMode="External"/><Relationship Id="rId223" Type="http://schemas.openxmlformats.org/officeDocument/2006/relationships/hyperlink" Target="https://f95zone.to/threads/sex-puppet-final-quarkyifu.74441/" TargetMode="External"/><Relationship Id="rId344" Type="http://schemas.openxmlformats.org/officeDocument/2006/relationships/hyperlink" Target="https://f95zone.to/threads/take-that-succubus-v0-1-calliethecute.122814/" TargetMode="External"/><Relationship Id="rId465" Type="http://schemas.openxmlformats.org/officeDocument/2006/relationships/hyperlink" Target="https://f95zone.to/threads/nancygirl-v1-0-purplepanties.141055/" TargetMode="External"/><Relationship Id="rId586" Type="http://schemas.openxmlformats.org/officeDocument/2006/relationships/hyperlink" Target="https://f95zone.to/threads/traveler-inn-tales-v0-8c-star-tree-games.162804/" TargetMode="External"/><Relationship Id="rId101" Type="http://schemas.openxmlformats.org/officeDocument/2006/relationships/hyperlink" Target="https://f95zone.to/threads/fall-of-the-angels-v0-3-2-13th-sin-games.91376/" TargetMode="External"/><Relationship Id="rId222" Type="http://schemas.openxmlformats.org/officeDocument/2006/relationships/hyperlink" Target="https://f95zone.to/threads/marnie-in-a-tight-spot-v1-1-2-greedylust23.68886/" TargetMode="External"/><Relationship Id="rId343" Type="http://schemas.openxmlformats.org/officeDocument/2006/relationships/hyperlink" Target="https://f95zone.to/threads/celest-twilight-v0-1-1-b1-elrath-creations.122772/" TargetMode="External"/><Relationship Id="rId464" Type="http://schemas.openxmlformats.org/officeDocument/2006/relationships/hyperlink" Target="https://f95zone.to/threads/tale-of-pain-v0-3-cosmosfantina.140970/" TargetMode="External"/><Relationship Id="rId585" Type="http://schemas.openxmlformats.org/officeDocument/2006/relationships/hyperlink" Target="https://f95zone.to/threads/my-escort-company-final-nsfw18-games.162591/" TargetMode="External"/><Relationship Id="rId100" Type="http://schemas.openxmlformats.org/officeDocument/2006/relationships/hyperlink" Target="https://f95zone.to/threads/i-want-to-dream-v1-0-yost.112673/" TargetMode="External"/><Relationship Id="rId221" Type="http://schemas.openxmlformats.org/officeDocument/2006/relationships/hyperlink" Target="https://f95zone.to/threads/tikis-summer-memories-v1-1-3-greedylust23.69543/" TargetMode="External"/><Relationship Id="rId342" Type="http://schemas.openxmlformats.org/officeDocument/2006/relationships/hyperlink" Target="https://f95zone.to/threads/succubus-trick-grown-up-problem-v0-2-apieceoftissue.122738/" TargetMode="External"/><Relationship Id="rId463" Type="http://schemas.openxmlformats.org/officeDocument/2006/relationships/hyperlink" Target="https://f95zone.to/threads/the-ballad-of-the-green-valley-v0-1-hdp-games.140403/" TargetMode="External"/><Relationship Id="rId584" Type="http://schemas.openxmlformats.org/officeDocument/2006/relationships/hyperlink" Target="https://f95zone.to/threads/short-stories-ntr-chp-1-potatoes-and-dragons.161996/" TargetMode="External"/><Relationship Id="rId217" Type="http://schemas.openxmlformats.org/officeDocument/2006/relationships/hyperlink" Target="https://f95zone.to/threads/take-your-time-v0-0-8d-rikketz.58424/" TargetMode="External"/><Relationship Id="rId338" Type="http://schemas.openxmlformats.org/officeDocument/2006/relationships/hyperlink" Target="https://f95zone.to/threads/ninjaway-v1-0-beta-lusteam.122164/" TargetMode="External"/><Relationship Id="rId459" Type="http://schemas.openxmlformats.org/officeDocument/2006/relationships/hyperlink" Target="https://f95zone.to/threads/unexpected-v0-1-nr-productions.139871/" TargetMode="External"/><Relationship Id="rId216" Type="http://schemas.openxmlformats.org/officeDocument/2006/relationships/hyperlink" Target="https://f95zone.to/threads/edenwelder-v0-3-sainty-marie.104061/" TargetMode="External"/><Relationship Id="rId337" Type="http://schemas.openxmlformats.org/officeDocument/2006/relationships/hyperlink" Target="https://f95zone.to/threads/a-growing-adventure-0-12-athgames.122161/" TargetMode="External"/><Relationship Id="rId458" Type="http://schemas.openxmlformats.org/officeDocument/2006/relationships/hyperlink" Target="https://f95zone.to/threads/the-half-hero-harem-v1-0-night.139864/" TargetMode="External"/><Relationship Id="rId579" Type="http://schemas.openxmlformats.org/officeDocument/2006/relationships/hyperlink" Target="https://f95zone.to/threads/paper-dreams-v1-0-early-acces-tower-green-shield-studio.161101/" TargetMode="External"/><Relationship Id="rId215" Type="http://schemas.openxmlformats.org/officeDocument/2006/relationships/hyperlink" Target="https://f95zone.to/threads/empty-66822-v5-05-lonery-moon.109196/" TargetMode="External"/><Relationship Id="rId336" Type="http://schemas.openxmlformats.org/officeDocument/2006/relationships/hyperlink" Target="https://f95zone.to/threads/lisapis-adventures-v0-1-0-demo-public-keisi.121661/" TargetMode="External"/><Relationship Id="rId457" Type="http://schemas.openxmlformats.org/officeDocument/2006/relationships/hyperlink" Target="https://f95zone.to/threads/pokelew-for-waifus-v0-1-gigachill-dev.139653/" TargetMode="External"/><Relationship Id="rId578" Type="http://schemas.openxmlformats.org/officeDocument/2006/relationships/hyperlink" Target="https://f95zone.to/threads/depraved-town-forgotten-memories-remake-v0-1-justanotherdegenerate.160881/" TargetMode="External"/><Relationship Id="rId699" Type="http://schemas.openxmlformats.org/officeDocument/2006/relationships/hyperlink" Target="https://f95zone.to/threads/beyond-lust-v0-1-1-headlessnewt.181532/" TargetMode="External"/><Relationship Id="rId214" Type="http://schemas.openxmlformats.org/officeDocument/2006/relationships/hyperlink" Target="https://f95zone.to/threads/cursed-overlord-v0-24-kings-turtle.87275/" TargetMode="External"/><Relationship Id="rId335" Type="http://schemas.openxmlformats.org/officeDocument/2006/relationships/hyperlink" Target="https://f95zone.to/threads/snow-brandia-fairy-later-final-circle-rin.99512/" TargetMode="External"/><Relationship Id="rId456" Type="http://schemas.openxmlformats.org/officeDocument/2006/relationships/hyperlink" Target="https://f95zone.to/threads/isekai-harem-hero-v0-1-eternal-drake.139644/" TargetMode="External"/><Relationship Id="rId577" Type="http://schemas.openxmlformats.org/officeDocument/2006/relationships/hyperlink" Target="https://f95zone.to/threads/love-maximum-v0-01-pinkheartgamez.160739/" TargetMode="External"/><Relationship Id="rId698" Type="http://schemas.openxmlformats.org/officeDocument/2006/relationships/hyperlink" Target="https://f95zone.to/threads/ovulating-maiden-v0-20b-pizzacat.151517/" TargetMode="External"/><Relationship Id="rId219" Type="http://schemas.openxmlformats.org/officeDocument/2006/relationships/hyperlink" Target="https://f95zone.to/threads/make-something-happen-final-kk2oven.91502/" TargetMode="External"/><Relationship Id="rId218" Type="http://schemas.openxmlformats.org/officeDocument/2006/relationships/hyperlink" Target="https://f95zone.to/threads/relay-swimming-final-kk2oven.96935/" TargetMode="External"/><Relationship Id="rId339" Type="http://schemas.openxmlformats.org/officeDocument/2006/relationships/hyperlink" Target="https://f95zone.to/threads/the-crest-of-lust-v0-3-r1-shon.121667/" TargetMode="External"/><Relationship Id="rId330" Type="http://schemas.openxmlformats.org/officeDocument/2006/relationships/hyperlink" Target="https://f95zone.to/threads/corrupt-the-heroine-v0-0-1-cheedle.119950/" TargetMode="External"/><Relationship Id="rId451" Type="http://schemas.openxmlformats.org/officeDocument/2006/relationships/hyperlink" Target="https://f95zone.to/threads/my-hentai-fantasy-v0-1-0-naughty-capy.139335/" TargetMode="External"/><Relationship Id="rId572" Type="http://schemas.openxmlformats.org/officeDocument/2006/relationships/hyperlink" Target="https://f95zone.to/threads/succubus-harem-v0-15-bazaar.159787/" TargetMode="External"/><Relationship Id="rId693" Type="http://schemas.openxmlformats.org/officeDocument/2006/relationships/hyperlink" Target="https://f95zone.to/threads/new-tail-v0-1-kaind.179912/" TargetMode="External"/><Relationship Id="rId450" Type="http://schemas.openxmlformats.org/officeDocument/2006/relationships/hyperlink" Target="https://f95zone.to/threads/shakai-seikatsu-v0-0-6-leroy12.139316/" TargetMode="External"/><Relationship Id="rId571" Type="http://schemas.openxmlformats.org/officeDocument/2006/relationships/hyperlink" Target="https://f95zone.to/threads/tranquility-v1-0-2-richitorenka.159752/" TargetMode="External"/><Relationship Id="rId692" Type="http://schemas.openxmlformats.org/officeDocument/2006/relationships/hyperlink" Target="https://f95zone.to/threads/lewd-cashier-v1-2-den-hammer.175394/" TargetMode="External"/><Relationship Id="rId570" Type="http://schemas.openxmlformats.org/officeDocument/2006/relationships/hyperlink" Target="https://f95zone.to/threads/divine-providence-fall-v0-05-ulith.159683/" TargetMode="External"/><Relationship Id="rId691" Type="http://schemas.openxmlformats.org/officeDocument/2006/relationships/hyperlink" Target="https://f95zone.to/threads/cafe-maid-hentai-edition-early-access-woop-media.179808/" TargetMode="External"/><Relationship Id="rId690" Type="http://schemas.openxmlformats.org/officeDocument/2006/relationships/hyperlink" Target="https://f95zone.to/threads/harem-wars-v0-1-3-bugfix-lightrunner.179317/" TargetMode="External"/><Relationship Id="rId213" Type="http://schemas.openxmlformats.org/officeDocument/2006/relationships/hyperlink" Target="https://f95zone.to/threads/monster-girl-investigator-v1-1-0-chisegames.75807/" TargetMode="External"/><Relationship Id="rId334" Type="http://schemas.openxmlformats.org/officeDocument/2006/relationships/hyperlink" Target="https://f95zone.to/threads/snow-brandia-final-circle-rin.99517/" TargetMode="External"/><Relationship Id="rId455" Type="http://schemas.openxmlformats.org/officeDocument/2006/relationships/hyperlink" Target="https://f95zone.to/threads/tales-of-lontebia-v0-1-0-maniwa.139423/" TargetMode="External"/><Relationship Id="rId576" Type="http://schemas.openxmlformats.org/officeDocument/2006/relationships/hyperlink" Target="https://f95zone.to/threads/hemsworth-manor-v0-01-valhallas-lord.160624/" TargetMode="External"/><Relationship Id="rId697" Type="http://schemas.openxmlformats.org/officeDocument/2006/relationships/hyperlink" Target="https://f95zone.to/threads/reverse-headscissors-facesit-v1-2-starvy.173782/" TargetMode="External"/><Relationship Id="rId212" Type="http://schemas.openxmlformats.org/officeDocument/2006/relationships/hyperlink" Target="https://f95zone.to/threads/a-bellyful-life-v0-1-fierylion.84825/" TargetMode="External"/><Relationship Id="rId333" Type="http://schemas.openxmlformats.org/officeDocument/2006/relationships/hyperlink" Target="https://f95zone.to/threads/my-lover-is-an-android-v0-01-echowix-games.88877/" TargetMode="External"/><Relationship Id="rId454" Type="http://schemas.openxmlformats.org/officeDocument/2006/relationships/hyperlink" Target="https://f95zone.to/threads/brave-new-isekai-v0-1-0-black-arts-theatre.139410/" TargetMode="External"/><Relationship Id="rId575" Type="http://schemas.openxmlformats.org/officeDocument/2006/relationships/hyperlink" Target="https://f95zone.to/threads/hentai-simulator-final-spider.160481/" TargetMode="External"/><Relationship Id="rId696" Type="http://schemas.openxmlformats.org/officeDocument/2006/relationships/hyperlink" Target="https://f95zone.to/threads/space-jester-v0-01-jooh-jooh.181169/" TargetMode="External"/><Relationship Id="rId211" Type="http://schemas.openxmlformats.org/officeDocument/2006/relationships/hyperlink" Target="https://f95zone.to/threads/first-taste-of-freedom-v0-0-4a-pinkestpetunia.103261/" TargetMode="External"/><Relationship Id="rId332" Type="http://schemas.openxmlformats.org/officeDocument/2006/relationships/hyperlink" Target="https://f95zone.to/threads/25days-hideout-v0-1-kyomasune.118309/" TargetMode="External"/><Relationship Id="rId453" Type="http://schemas.openxmlformats.org/officeDocument/2006/relationships/hyperlink" Target="https://f95zone.to/threads/chocolate-flavored-love-v0-1-1-psiandiameter.139304/" TargetMode="External"/><Relationship Id="rId574" Type="http://schemas.openxmlformats.org/officeDocument/2006/relationships/hyperlink" Target="https://f95zone.to/threads/futa-fantasy-public-version-futa-fantasy.160169/" TargetMode="External"/><Relationship Id="rId695" Type="http://schemas.openxmlformats.org/officeDocument/2006/relationships/hyperlink" Target="https://f95zone.to/threads/sport-and-lust-v0-1-skinny-rat-studio.180315/" TargetMode="External"/><Relationship Id="rId210" Type="http://schemas.openxmlformats.org/officeDocument/2006/relationships/hyperlink" Target="https://f95zone.to/threads/conception-maiden-demo-v4-pizzacat.19121/" TargetMode="External"/><Relationship Id="rId331" Type="http://schemas.openxmlformats.org/officeDocument/2006/relationships/hyperlink" Target="https://f95zone.to/threads/fairy-trainer-v0-13-5-astrider.70238/" TargetMode="External"/><Relationship Id="rId452" Type="http://schemas.openxmlformats.org/officeDocument/2006/relationships/hyperlink" Target="https://f95zone.to/threads/captains-bizarre-adventure-v1-0-captainverse.139124/" TargetMode="External"/><Relationship Id="rId573" Type="http://schemas.openxmlformats.org/officeDocument/2006/relationships/hyperlink" Target="https://f95zone.to/threads/shared-fate-v0-1-foxfictioneer.160126/" TargetMode="External"/><Relationship Id="rId694" Type="http://schemas.openxmlformats.org/officeDocument/2006/relationships/hyperlink" Target="https://f95zone.to/threads/path-to-discovery-v0-1-celestialspider.179952/" TargetMode="External"/><Relationship Id="rId370" Type="http://schemas.openxmlformats.org/officeDocument/2006/relationships/hyperlink" Target="https://f95zone.to/threads/sullied-rose-v0-1d-sleepy-devs.126674/" TargetMode="External"/><Relationship Id="rId491" Type="http://schemas.openxmlformats.org/officeDocument/2006/relationships/hyperlink" Target="https://f95zone.to/threads/dimension-69-v0-0-1-dussop.146700/" TargetMode="External"/><Relationship Id="rId490" Type="http://schemas.openxmlformats.org/officeDocument/2006/relationships/hyperlink" Target="https://f95zone.to/threads/black-rose-ep-1-heart-productions.146519/" TargetMode="External"/><Relationship Id="rId129" Type="http://schemas.openxmlformats.org/officeDocument/2006/relationships/hyperlink" Target="https://f95zone.to/threads/crossing-world-v0-4-thebigfish-nsfw.93377/" TargetMode="External"/><Relationship Id="rId128" Type="http://schemas.openxmlformats.org/officeDocument/2006/relationships/hyperlink" Target="https://f95zone.to/threads/kapsin-ch-1-beta-marv.105121/" TargetMode="External"/><Relationship Id="rId249" Type="http://schemas.openxmlformats.org/officeDocument/2006/relationships/hyperlink" Target="https://f95zone.to/threads/deep-freeze-v0-1-deep-freeze.34227/" TargetMode="External"/><Relationship Id="rId127" Type="http://schemas.openxmlformats.org/officeDocument/2006/relationships/hyperlink" Target="https://f95zone.to/threads/church-of-sin-demo-1-v1-0-church-of-sin.105350/" TargetMode="External"/><Relationship Id="rId248" Type="http://schemas.openxmlformats.org/officeDocument/2006/relationships/hyperlink" Target="https://f95zone.to/threads/the-life-of-haruka-v0-1-kraguto.30162/" TargetMode="External"/><Relationship Id="rId369" Type="http://schemas.openxmlformats.org/officeDocument/2006/relationships/hyperlink" Target="https://f95zone.to/threads/anime-spa-final-kk2oven.126414/" TargetMode="External"/><Relationship Id="rId126" Type="http://schemas.openxmlformats.org/officeDocument/2006/relationships/hyperlink" Target="https://f95zone.to/threads/light-within-episode-5-double-moon.86085/" TargetMode="External"/><Relationship Id="rId247" Type="http://schemas.openxmlformats.org/officeDocument/2006/relationships/hyperlink" Target="https://f95zone.to/threads/studying-with-ellie-pre-alpha-nora-sensei.28908/" TargetMode="External"/><Relationship Id="rId368" Type="http://schemas.openxmlformats.org/officeDocument/2006/relationships/hyperlink" Target="https://f95zone.to/threads/enticing-school-v0-1-traitos.126252/" TargetMode="External"/><Relationship Id="rId489" Type="http://schemas.openxmlformats.org/officeDocument/2006/relationships/hyperlink" Target="https://f95zone.to/threads/new-life-at-university-demo-astar443.146499/" TargetMode="External"/><Relationship Id="rId121" Type="http://schemas.openxmlformats.org/officeDocument/2006/relationships/hyperlink" Target="https://f95zone.to/threads/justice-and-tribulation-v0-3-ale56.85171/" TargetMode="External"/><Relationship Id="rId242" Type="http://schemas.openxmlformats.org/officeDocument/2006/relationships/hyperlink" Target="https://f95zone.to/threads/its-time-for-premature-ejaculation-correction-training-master-final-pocotengtongtang.110471/" TargetMode="External"/><Relationship Id="rId363" Type="http://schemas.openxmlformats.org/officeDocument/2006/relationships/hyperlink" Target="https://f95zone.to/threads/project-ark-v0-4-nekoboxgame.109557/" TargetMode="External"/><Relationship Id="rId484" Type="http://schemas.openxmlformats.org/officeDocument/2006/relationships/hyperlink" Target="https://f95zone.to/threads/bloom-v0-006a-demon-flower-studios.145023/" TargetMode="External"/><Relationship Id="rId120" Type="http://schemas.openxmlformats.org/officeDocument/2006/relationships/hyperlink" Target="https://f95zone.to/threads/drakun-x-demon-ill-become-the-strongest-mage-in-the-world-v1-8-inoribot.103729/" TargetMode="External"/><Relationship Id="rId241" Type="http://schemas.openxmlformats.org/officeDocument/2006/relationships/hyperlink" Target="https://f95zone.to/threads/summer-sacrifice-betterrepack-v0-04-r0-2-miconisomi.110033/" TargetMode="External"/><Relationship Id="rId362" Type="http://schemas.openxmlformats.org/officeDocument/2006/relationships/hyperlink" Target="https://f95zone.to/threads/fate-king-beginning-of-the-end-v0-1-hashibiroko.125520/" TargetMode="External"/><Relationship Id="rId483" Type="http://schemas.openxmlformats.org/officeDocument/2006/relationships/hyperlink" Target="https://f95zone.to/threads/femboy-cafe-shop-v0-1-hrenit.144734/" TargetMode="External"/><Relationship Id="rId240" Type="http://schemas.openxmlformats.org/officeDocument/2006/relationships/hyperlink" Target="https://f95zone.to/threads/hakus-harem-v1-01-horoichi.110351/" TargetMode="External"/><Relationship Id="rId361" Type="http://schemas.openxmlformats.org/officeDocument/2006/relationships/hyperlink" Target="https://f95zone.to/threads/crazy-gamemaster-dolphins-v1-0-rpgcrazy.87589/" TargetMode="External"/><Relationship Id="rId482" Type="http://schemas.openxmlformats.org/officeDocument/2006/relationships/hyperlink" Target="https://f95zone.to/threads/nurc-world-demo-nurcgroupe.144628/" TargetMode="External"/><Relationship Id="rId360" Type="http://schemas.openxmlformats.org/officeDocument/2006/relationships/hyperlink" Target="https://f95zone.to/threads/futa-family-demo-ani-has-problems.125074/" TargetMode="External"/><Relationship Id="rId481" Type="http://schemas.openxmlformats.org/officeDocument/2006/relationships/hyperlink" Target="https://f95zone.to/threads/katei-kyoshi-private-tutor-pilot-version-otaku_argento.144637/" TargetMode="External"/><Relationship Id="rId125" Type="http://schemas.openxmlformats.org/officeDocument/2006/relationships/hyperlink" Target="https://f95zone.to/threads/bloom-war-v0-3-ath-games.105913/" TargetMode="External"/><Relationship Id="rId246" Type="http://schemas.openxmlformats.org/officeDocument/2006/relationships/hyperlink" Target="https://f95zone.to/threads/bigmistake-ep-1-nextgen.25947/" TargetMode="External"/><Relationship Id="rId367" Type="http://schemas.openxmlformats.org/officeDocument/2006/relationships/hyperlink" Target="https://f95zone.to/threads/total-maidness-v0-1-0-onioncuttingninja.126193/" TargetMode="External"/><Relationship Id="rId488" Type="http://schemas.openxmlformats.org/officeDocument/2006/relationships/hyperlink" Target="https://f95zone.to/threads/mercenaries-v0-1-wickedgoat.145996/" TargetMode="External"/><Relationship Id="rId124" Type="http://schemas.openxmlformats.org/officeDocument/2006/relationships/hyperlink" Target="https://f95zone.to/threads/censored-sight-v0-5-1-aquaworshipper.94890/" TargetMode="External"/><Relationship Id="rId245" Type="http://schemas.openxmlformats.org/officeDocument/2006/relationships/hyperlink" Target="https://f95zone.to/threads/a-boring-day-v1-0-nextgen.25576/" TargetMode="External"/><Relationship Id="rId366" Type="http://schemas.openxmlformats.org/officeDocument/2006/relationships/hyperlink" Target="https://f95zone.to/threads/sole-searching-v0-1-srun123.125782/" TargetMode="External"/><Relationship Id="rId487" Type="http://schemas.openxmlformats.org/officeDocument/2006/relationships/hyperlink" Target="https://f95zone.to/threads/shinos-sp-boardgame-v0-10-garnet.145672/" TargetMode="External"/><Relationship Id="rId123" Type="http://schemas.openxmlformats.org/officeDocument/2006/relationships/hyperlink" Target="https://f95zone.to/threads/whats-mine-is-yours-v0-2-0-remake-vitalsigns.60442/" TargetMode="External"/><Relationship Id="rId244" Type="http://schemas.openxmlformats.org/officeDocument/2006/relationships/hyperlink" Target="https://f95zone.to/threads/the-portal-v0-1-fixed-kyuba.25208/" TargetMode="External"/><Relationship Id="rId365" Type="http://schemas.openxmlformats.org/officeDocument/2006/relationships/hyperlink" Target="https://f95zone.to/threads/breeding-season-3d-v0-0-2-love-os-games.123898/" TargetMode="External"/><Relationship Id="rId486" Type="http://schemas.openxmlformats.org/officeDocument/2006/relationships/hyperlink" Target="https://f95zone.to/threads/guild-of-spicy-adventures-v0-11-hikkeiru.145430/" TargetMode="External"/><Relationship Id="rId122" Type="http://schemas.openxmlformats.org/officeDocument/2006/relationships/hyperlink" Target="https://f95zone.to/threads/detective-purity-decay-what-will-you-choose-v0-0-1-nijo.106483/" TargetMode="External"/><Relationship Id="rId243" Type="http://schemas.openxmlformats.org/officeDocument/2006/relationships/hyperlink" Target="https://f95zone.to/threads/harem-high-school-v0-2-5-spliff-productions.18260/" TargetMode="External"/><Relationship Id="rId364" Type="http://schemas.openxmlformats.org/officeDocument/2006/relationships/hyperlink" Target="https://f95zone.to/threads/devils-academy-dxd-v0-1-naitoh.125735/" TargetMode="External"/><Relationship Id="rId485" Type="http://schemas.openxmlformats.org/officeDocument/2006/relationships/hyperlink" Target="https://f95zone.to/threads/kirina-quest-v0-01-miscsfm.145206/" TargetMode="External"/><Relationship Id="rId95" Type="http://schemas.openxmlformats.org/officeDocument/2006/relationships/hyperlink" Target="https://f95zone.to/threads/5-powers-v0-7a-icecreamparty.86098/" TargetMode="External"/><Relationship Id="rId94" Type="http://schemas.openxmlformats.org/officeDocument/2006/relationships/hyperlink" Target="https://f95zone.to/threads/kana-sensei-v0-2-1-public-kana.114901/" TargetMode="External"/><Relationship Id="rId97" Type="http://schemas.openxmlformats.org/officeDocument/2006/relationships/hyperlink" Target="https://f95zone.to/threads/ero-ero-no-mi-the-great-adventure-v0-4-5-kraguto-games.72896/" TargetMode="External"/><Relationship Id="rId96" Type="http://schemas.openxmlformats.org/officeDocument/2006/relationships/hyperlink" Target="https://f95zone.to/threads/the-daily-life-of-pan-hero-v0-1-1-steradianfauns.114772/" TargetMode="External"/><Relationship Id="rId99" Type="http://schemas.openxmlformats.org/officeDocument/2006/relationships/hyperlink" Target="https://f95zone.to/threads/how-i-became-the-bodyguard-of-the-saintess-v0-2-lunardis.105525/" TargetMode="External"/><Relationship Id="rId480" Type="http://schemas.openxmlformats.org/officeDocument/2006/relationships/hyperlink" Target="https://f95zone.to/threads/honeydrop-resort-v1-0-dickus-games.144525/" TargetMode="External"/><Relationship Id="rId98" Type="http://schemas.openxmlformats.org/officeDocument/2006/relationships/hyperlink" Target="https://f95zone.to/threads/ways-of-the-hero-v1-0-dr-peanut.113880/" TargetMode="External"/><Relationship Id="rId91" Type="http://schemas.openxmlformats.org/officeDocument/2006/relationships/hyperlink" Target="https://f95zone.to/threads/can-you-heal-me-ep-1-astrider.115575/" TargetMode="External"/><Relationship Id="rId90" Type="http://schemas.openxmlformats.org/officeDocument/2006/relationships/hyperlink" Target="https://f95zone.to/threads/my-second-family-v0-11-0-kyuso.98591/" TargetMode="External"/><Relationship Id="rId93" Type="http://schemas.openxmlformats.org/officeDocument/2006/relationships/hyperlink" Target="https://f95zone.to/threads/artificial-awakening-v0-7-shinydarkrai.80992/" TargetMode="External"/><Relationship Id="rId92" Type="http://schemas.openxmlformats.org/officeDocument/2006/relationships/hyperlink" Target="https://f95zone.to/threads/zap-v0-4-spoinker.103882/" TargetMode="External"/><Relationship Id="rId118" Type="http://schemas.openxmlformats.org/officeDocument/2006/relationships/hyperlink" Target="https://f95zone.to/threads/moon-tails-harem-v0-0-1-pink-lamb.107435/" TargetMode="External"/><Relationship Id="rId239" Type="http://schemas.openxmlformats.org/officeDocument/2006/relationships/hyperlink" Target="https://f95zone.to/threads/calendar-bitchy-girlfriends-ntr-fiction-final-fried-tomatoes.110771/" TargetMode="External"/><Relationship Id="rId117" Type="http://schemas.openxmlformats.org/officeDocument/2006/relationships/hyperlink" Target="https://f95zone.to/threads/cellular-shift-v0-6-0-pattern-on-the-pants-games.75676/" TargetMode="External"/><Relationship Id="rId238" Type="http://schemas.openxmlformats.org/officeDocument/2006/relationships/hyperlink" Target="https://f95zone.to/threads/expo-lust-final-good-soft-games.113482/" TargetMode="External"/><Relationship Id="rId359" Type="http://schemas.openxmlformats.org/officeDocument/2006/relationships/hyperlink" Target="https://f95zone.to/threads/demon-sword-incubus-v1-17b5-brianode.71065/" TargetMode="External"/><Relationship Id="rId116" Type="http://schemas.openxmlformats.org/officeDocument/2006/relationships/hyperlink" Target="https://f95zone.to/threads/z-training-v0-5-konohatraining.97353/" TargetMode="External"/><Relationship Id="rId237" Type="http://schemas.openxmlformats.org/officeDocument/2006/relationships/hyperlink" Target="https://f95zone.to/threads/gold-wiper-final-edge-games.115110/" TargetMode="External"/><Relationship Id="rId358" Type="http://schemas.openxmlformats.org/officeDocument/2006/relationships/hyperlink" Target="https://f95zone.to/threads/to-ntr-ru-v0-1-ntrparody.124544/" TargetMode="External"/><Relationship Id="rId479" Type="http://schemas.openxmlformats.org/officeDocument/2006/relationships/hyperlink" Target="https://f95zone.to/threads/girls-und-panzer-panzussy-v0-01-upforkilling.144272/" TargetMode="External"/><Relationship Id="rId115" Type="http://schemas.openxmlformats.org/officeDocument/2006/relationships/hyperlink" Target="https://f95zone.to/threads/class-of-2014-v0-3-2-blazing-bob.101323/" TargetMode="External"/><Relationship Id="rId236" Type="http://schemas.openxmlformats.org/officeDocument/2006/relationships/hyperlink" Target="https://f95zone.to/threads/dorm-mother-magic-v1-0-1-maerchenbyte.115705/" TargetMode="External"/><Relationship Id="rId357" Type="http://schemas.openxmlformats.org/officeDocument/2006/relationships/hyperlink" Target="https://f95zone.to/threads/broken-dreams-v1-0-biggering.124830/" TargetMode="External"/><Relationship Id="rId478" Type="http://schemas.openxmlformats.org/officeDocument/2006/relationships/hyperlink" Target="https://f95zone.to/threads/lovers-diary-a-psychological-drama-v0-1-freakbunny.144262/" TargetMode="External"/><Relationship Id="rId599" Type="http://schemas.openxmlformats.org/officeDocument/2006/relationships/hyperlink" Target="https://f95zone.to/threads/the-primordial-v0-01b-funkyd.164809/" TargetMode="External"/><Relationship Id="rId119" Type="http://schemas.openxmlformats.org/officeDocument/2006/relationships/hyperlink" Target="https://f95zone.to/threads/mentor-life-v0-3-brdsky.96538/" TargetMode="External"/><Relationship Id="rId110" Type="http://schemas.openxmlformats.org/officeDocument/2006/relationships/hyperlink" Target="https://f95zone.to/threads/purr-of-love-v0-4-public-pawpunchworks.96787/" TargetMode="External"/><Relationship Id="rId231" Type="http://schemas.openxmlformats.org/officeDocument/2006/relationships/hyperlink" Target="https://f95zone.to/threads/azinyth-my-succubus-friends-demo-1-azephynight.119155/" TargetMode="External"/><Relationship Id="rId352" Type="http://schemas.openxmlformats.org/officeDocument/2006/relationships/hyperlink" Target="https://f95zone.to/threads/breedtown-2-final-thatcombatwombat.123503/" TargetMode="External"/><Relationship Id="rId473" Type="http://schemas.openxmlformats.org/officeDocument/2006/relationships/hyperlink" Target="https://f95zone.to/threads/the-dollhouse-district-final-dollhouse.143368/" TargetMode="External"/><Relationship Id="rId594" Type="http://schemas.openxmlformats.org/officeDocument/2006/relationships/hyperlink" Target="https://f95zone.to/threads/my-widow-stepmother-final-taboo-collection.163918/" TargetMode="External"/><Relationship Id="rId230" Type="http://schemas.openxmlformats.org/officeDocument/2006/relationships/hyperlink" Target="https://f95zone.to/threads/glitter-invitation-alpha-0-18-snow-drop.118762/" TargetMode="External"/><Relationship Id="rId351" Type="http://schemas.openxmlformats.org/officeDocument/2006/relationships/hyperlink" Target="https://f95zone.to/threads/demons-of-harem-v0-2-black_cat.118835/" TargetMode="External"/><Relationship Id="rId472" Type="http://schemas.openxmlformats.org/officeDocument/2006/relationships/hyperlink" Target="https://f95zone.to/threads/together-with-maya-chan-final-sheablesoft.143269/" TargetMode="External"/><Relationship Id="rId593" Type="http://schemas.openxmlformats.org/officeDocument/2006/relationships/hyperlink" Target="https://f95zone.to/threads/those-golden-days-v0-1-my-big-little-brother.163640/" TargetMode="External"/><Relationship Id="rId350" Type="http://schemas.openxmlformats.org/officeDocument/2006/relationships/hyperlink" Target="https://f95zone.to/threads/tasty-mansion-v0-1-0-pipez.123455/" TargetMode="External"/><Relationship Id="rId471" Type="http://schemas.openxmlformats.org/officeDocument/2006/relationships/hyperlink" Target="https://f95zone.to/threads/cartoon-harem-v0-2-dagetadev.143218/" TargetMode="External"/><Relationship Id="rId592" Type="http://schemas.openxmlformats.org/officeDocument/2006/relationships/hyperlink" Target="https://f95zone.to/threads/fate-grand-ntr-update-2-pinkdream.163606/" TargetMode="External"/><Relationship Id="rId470" Type="http://schemas.openxmlformats.org/officeDocument/2006/relationships/hyperlink" Target="https://f95zone.to/threads/bloodsucker-v0-1-0-lesser.142407/" TargetMode="External"/><Relationship Id="rId591" Type="http://schemas.openxmlformats.org/officeDocument/2006/relationships/hyperlink" Target="https://f95zone.to/threads/scathach-game-prologue-final-fujino.163535/" TargetMode="External"/><Relationship Id="rId114" Type="http://schemas.openxmlformats.org/officeDocument/2006/relationships/hyperlink" Target="https://f95zone.to/threads/tales-of-unity-v0-10-part-2-stronkboi.34763/" TargetMode="External"/><Relationship Id="rId235" Type="http://schemas.openxmlformats.org/officeDocument/2006/relationships/hyperlink" Target="https://f95zone.to/threads/virtual-succubus-v0-28-full-succudev.54086/" TargetMode="External"/><Relationship Id="rId356" Type="http://schemas.openxmlformats.org/officeDocument/2006/relationships/hyperlink" Target="https://f95zone.to/threads/universex-v0-0-1-kiyoshi.123922/" TargetMode="External"/><Relationship Id="rId477" Type="http://schemas.openxmlformats.org/officeDocument/2006/relationships/hyperlink" Target="https://f95zone.to/threads/school-tales-v1-7-kenzi-shinyuiki.144195/" TargetMode="External"/><Relationship Id="rId598" Type="http://schemas.openxmlformats.org/officeDocument/2006/relationships/hyperlink" Target="https://f95zone.to/threads/amys-house-v0-0-1-2-mymagicalharem.164480/" TargetMode="External"/><Relationship Id="rId113" Type="http://schemas.openxmlformats.org/officeDocument/2006/relationships/hyperlink" Target="https://f95zone.to/threads/master-rune-v0-1-lizardsfromspace.108081/" TargetMode="External"/><Relationship Id="rId234" Type="http://schemas.openxmlformats.org/officeDocument/2006/relationships/hyperlink" Target="https://f95zone.to/threads/forbidden-ninja-scroll-kunoichi-training-prototype-v1-0-forbidden-ninja-scroll.117555/" TargetMode="External"/><Relationship Id="rId355" Type="http://schemas.openxmlformats.org/officeDocument/2006/relationships/hyperlink" Target="https://f95zone.to/threads/glow-of-venus-final-onioncuttingninja.123819/" TargetMode="External"/><Relationship Id="rId476" Type="http://schemas.openxmlformats.org/officeDocument/2006/relationships/hyperlink" Target="https://f95zone.to/threads/naked-risk-3d-v1-2-3-brazen-games.66605/" TargetMode="External"/><Relationship Id="rId597" Type="http://schemas.openxmlformats.org/officeDocument/2006/relationships/hyperlink" Target="https://f95zone.to/threads/harem-party-adventures-v0-1-assmodeus-unlimited-lewd-works.164455/" TargetMode="External"/><Relationship Id="rId112" Type="http://schemas.openxmlformats.org/officeDocument/2006/relationships/hyperlink" Target="https://f95zone.to/threads/pokegirl-stories-1-lillies-toilet-troubles-v0-2-slormo.102015/" TargetMode="External"/><Relationship Id="rId233" Type="http://schemas.openxmlformats.org/officeDocument/2006/relationships/hyperlink" Target="https://f95zone.to/threads/heart-of-dungeon-final-hitori-games.117885/" TargetMode="External"/><Relationship Id="rId354" Type="http://schemas.openxmlformats.org/officeDocument/2006/relationships/hyperlink" Target="https://f95zone.to/threads/secrets-of-sorcery-v0-03-0-habardgames.123623/" TargetMode="External"/><Relationship Id="rId475" Type="http://schemas.openxmlformats.org/officeDocument/2006/relationships/hyperlink" Target="https://f95zone.to/threads/scarlet-trainer-v0-1-jypgames.143792/" TargetMode="External"/><Relationship Id="rId596" Type="http://schemas.openxmlformats.org/officeDocument/2006/relationships/hyperlink" Target="https://f95zone.to/threads/pokemon-xnap-v1-0-luchetty.164216/" TargetMode="External"/><Relationship Id="rId111" Type="http://schemas.openxmlformats.org/officeDocument/2006/relationships/hyperlink" Target="https://f95zone.to/threads/summer-hotel-harem-v0-0-3-chapter-2-lewdmilk.105902/" TargetMode="External"/><Relationship Id="rId232" Type="http://schemas.openxmlformats.org/officeDocument/2006/relationships/hyperlink" Target="https://f95zone.to/threads/drive-fairy-ideal-raise-v0-7-circle-rin.94383/" TargetMode="External"/><Relationship Id="rId353" Type="http://schemas.openxmlformats.org/officeDocument/2006/relationships/hyperlink" Target="https://f95zone.to/threads/commanding-a-harem-v0-13-thomoto.123603/" TargetMode="External"/><Relationship Id="rId474" Type="http://schemas.openxmlformats.org/officeDocument/2006/relationships/hyperlink" Target="https://f95zone.to/threads/cuckolds-family-v0-1-remake-pinkdream.102420/" TargetMode="External"/><Relationship Id="rId595" Type="http://schemas.openxmlformats.org/officeDocument/2006/relationships/hyperlink" Target="https://f95zone.to/threads/the-minimum-project-v0-2-intervention.164061/" TargetMode="External"/><Relationship Id="rId305" Type="http://schemas.openxmlformats.org/officeDocument/2006/relationships/hyperlink" Target="https://f95zone.to/threads/left-the-mafia-to-run-a-cafe-v0-1-thomoto.96061/" TargetMode="External"/><Relationship Id="rId426" Type="http://schemas.openxmlformats.org/officeDocument/2006/relationships/hyperlink" Target="https://f95zone.to/threads/new-titan-hentai-game-v0-0-1-nomuradev.134986/" TargetMode="External"/><Relationship Id="rId547" Type="http://schemas.openxmlformats.org/officeDocument/2006/relationships/hyperlink" Target="https://f95zone.to/threads/make-it-home-final-zelp.156198/" TargetMode="External"/><Relationship Id="rId668" Type="http://schemas.openxmlformats.org/officeDocument/2006/relationships/hyperlink" Target="https://f95zone.to/threads/my-naughty-neighbor-v1-0-onioncuttingninja.174636/" TargetMode="External"/><Relationship Id="rId304" Type="http://schemas.openxmlformats.org/officeDocument/2006/relationships/hyperlink" Target="https://f95zone.to/threads/project-la-manor-demo-la-manor-dev.100825/" TargetMode="External"/><Relationship Id="rId425" Type="http://schemas.openxmlformats.org/officeDocument/2006/relationships/hyperlink" Target="https://f95zone.to/threads/slut-x-family-v0-2-ebon-blite.134977/" TargetMode="External"/><Relationship Id="rId546" Type="http://schemas.openxmlformats.org/officeDocument/2006/relationships/hyperlink" Target="https://f95zone.to/threads/neon-eve-v0-5-5-dateless.156027/" TargetMode="External"/><Relationship Id="rId667" Type="http://schemas.openxmlformats.org/officeDocument/2006/relationships/hyperlink" Target="https://f95zone.to/threads/reckless-love-v0-0-1demo-recentlyluckyman.174291/" TargetMode="External"/><Relationship Id="rId303" Type="http://schemas.openxmlformats.org/officeDocument/2006/relationships/hyperlink" Target="https://f95zone.to/threads/your-chronicles-v0-2-0-saltysai.117368/" TargetMode="External"/><Relationship Id="rId424" Type="http://schemas.openxmlformats.org/officeDocument/2006/relationships/hyperlink" Target="https://f95zone.to/threads/sex-in-teyvat-v0-1-alpes0601.134858/" TargetMode="External"/><Relationship Id="rId545" Type="http://schemas.openxmlformats.org/officeDocument/2006/relationships/hyperlink" Target="https://f95zone.to/threads/grade-a-bully-v1-0-duckie.155968/" TargetMode="External"/><Relationship Id="rId666" Type="http://schemas.openxmlformats.org/officeDocument/2006/relationships/hyperlink" Target="https://f95zone.to/threads/eldritch-highschool-v0-1-drakenn.174203/" TargetMode="External"/><Relationship Id="rId302" Type="http://schemas.openxmlformats.org/officeDocument/2006/relationships/hyperlink" Target="https://f95zone.to/threads/despair-labyrinth-ransom-of-elynsor-v0-09-takimaru.115994/" TargetMode="External"/><Relationship Id="rId423" Type="http://schemas.openxmlformats.org/officeDocument/2006/relationships/hyperlink" Target="https://f95zone.to/threads/fleeting-starlight-prologue-starstorm.134250/" TargetMode="External"/><Relationship Id="rId544" Type="http://schemas.openxmlformats.org/officeDocument/2006/relationships/hyperlink" Target="https://f95zone.to/threads/serial-code-v0-1-kurosa-wa.155755/" TargetMode="External"/><Relationship Id="rId665" Type="http://schemas.openxmlformats.org/officeDocument/2006/relationships/hyperlink" Target="https://f95zone.to/threads/booty-hunter-alpha-01-thealleyguy.174074/" TargetMode="External"/><Relationship Id="rId309" Type="http://schemas.openxmlformats.org/officeDocument/2006/relationships/hyperlink" Target="https://f95zone.to/threads/special-lectures-v0-04a-flesstek.103987/" TargetMode="External"/><Relationship Id="rId308" Type="http://schemas.openxmlformats.org/officeDocument/2006/relationships/hyperlink" Target="https://f95zone.to/threads/heros-harem-guild-v0-1-2-public-komisari.42173/" TargetMode="External"/><Relationship Id="rId429" Type="http://schemas.openxmlformats.org/officeDocument/2006/relationships/hyperlink" Target="https://f95zone.to/threads/sharing-is-caring-v0-0-4-fronte91.135153/" TargetMode="External"/><Relationship Id="rId307" Type="http://schemas.openxmlformats.org/officeDocument/2006/relationships/hyperlink" Target="https://f95zone.to/threads/aftermath-v1-6f-vilemedia.46905/" TargetMode="External"/><Relationship Id="rId428" Type="http://schemas.openxmlformats.org/officeDocument/2006/relationships/hyperlink" Target="https://f95zone.to/threads/the-truth-is-nothing-but-lying-v0-1-albatrozz.135116/" TargetMode="External"/><Relationship Id="rId549" Type="http://schemas.openxmlformats.org/officeDocument/2006/relationships/hyperlink" Target="https://f95zone.to/threads/desktop-garage-kit-v1-1-2-1up-games.157113/" TargetMode="External"/><Relationship Id="rId306" Type="http://schemas.openxmlformats.org/officeDocument/2006/relationships/hyperlink" Target="https://f95zone.to/threads/hot-advertising-v0-1-2-sweet-games-studios.87146/" TargetMode="External"/><Relationship Id="rId427" Type="http://schemas.openxmlformats.org/officeDocument/2006/relationships/hyperlink" Target="https://f95zone.to/threads/naruto-konohas-last-man-v0-1-anorango.134991/" TargetMode="External"/><Relationship Id="rId548" Type="http://schemas.openxmlformats.org/officeDocument/2006/relationships/hyperlink" Target="https://f95zone.to/threads/the-beginning-of-end-v0-1-the-art-of-suicide-games.156702/" TargetMode="External"/><Relationship Id="rId669" Type="http://schemas.openxmlformats.org/officeDocument/2006/relationships/hyperlink" Target="https://f95zone.to/threads/the-last-heros-darkest-quest-v0-0-1-isecretdream.175045/" TargetMode="External"/><Relationship Id="rId660" Type="http://schemas.openxmlformats.org/officeDocument/2006/relationships/hyperlink" Target="https://f95zone.to/threads/love-404-v-0-1-1b-ivvvi.173380/" TargetMode="External"/><Relationship Id="rId301" Type="http://schemas.openxmlformats.org/officeDocument/2006/relationships/hyperlink" Target="https://f95zone.to/threads/survival-game-v1-4-renlion69.90386/" TargetMode="External"/><Relationship Id="rId422" Type="http://schemas.openxmlformats.org/officeDocument/2006/relationships/hyperlink" Target="https://f95zone.to/threads/ichiraku-ramen-1-v0-1-adventurestudio.134463/" TargetMode="External"/><Relationship Id="rId543" Type="http://schemas.openxmlformats.org/officeDocument/2006/relationships/hyperlink" Target="https://f95zone.to/threads/eleventh-hour-v1-0-raave.155644/" TargetMode="External"/><Relationship Id="rId664" Type="http://schemas.openxmlformats.org/officeDocument/2006/relationships/hyperlink" Target="https://f95zone.to/threads/bitter-harvest-a-revengeful-heart-prologue-kalvarist.174051/" TargetMode="External"/><Relationship Id="rId300" Type="http://schemas.openxmlformats.org/officeDocument/2006/relationships/hyperlink" Target="https://f95zone.to/threads/breedtown-final-thatcombatwombat.96257/" TargetMode="External"/><Relationship Id="rId421" Type="http://schemas.openxmlformats.org/officeDocument/2006/relationships/hyperlink" Target="https://f95zone.to/threads/griomoiras-armoria-v1-0-mochingmochi.134321/" TargetMode="External"/><Relationship Id="rId542" Type="http://schemas.openxmlformats.org/officeDocument/2006/relationships/hyperlink" Target="https://f95zone.to/threads/feminist-world-v0-2-saltysai.155450/" TargetMode="External"/><Relationship Id="rId663" Type="http://schemas.openxmlformats.org/officeDocument/2006/relationships/hyperlink" Target="https://f95zone.to/threads/rent-a-room-v1-0-spunkyambassador.173408/" TargetMode="External"/><Relationship Id="rId420" Type="http://schemas.openxmlformats.org/officeDocument/2006/relationships/hyperlink" Target="https://f95zone.to/threads/hypnotizing-beautiful-sisters-who-piss-me-off-demo-gamessafu.133737/" TargetMode="External"/><Relationship Id="rId541" Type="http://schemas.openxmlformats.org/officeDocument/2006/relationships/hyperlink" Target="https://f95zone.to/threads/rebooted-life-demo-v0-05-demo-cupido2d.155392/" TargetMode="External"/><Relationship Id="rId662" Type="http://schemas.openxmlformats.org/officeDocument/2006/relationships/hyperlink" Target="https://f95zone.to/threads/biological-lust-prologue-black_dust.173788/" TargetMode="External"/><Relationship Id="rId540" Type="http://schemas.openxmlformats.org/officeDocument/2006/relationships/hyperlink" Target="https://f95zone.to/threads/detached-v0-1-0-scruffles.155368/" TargetMode="External"/><Relationship Id="rId661" Type="http://schemas.openxmlformats.org/officeDocument/2006/relationships/hyperlink" Target="https://f95zone.to/threads/the-halo-project-v0-05a-hushhushgames.173673/" TargetMode="External"/><Relationship Id="rId415" Type="http://schemas.openxmlformats.org/officeDocument/2006/relationships/hyperlink" Target="https://f95zone.to/threads/kingdom-of-the-dead-v0-1-mrwicho.133243/" TargetMode="External"/><Relationship Id="rId536" Type="http://schemas.openxmlformats.org/officeDocument/2006/relationships/hyperlink" Target="https://f95zone.to/threads/captainvrse-v0-1-demo-tranquilhaze.155026/" TargetMode="External"/><Relationship Id="rId657" Type="http://schemas.openxmlformats.org/officeDocument/2006/relationships/hyperlink" Target="https://f95zone.to/threads/another-world-another-adventures-demo-s-i-t-studio.173226/" TargetMode="External"/><Relationship Id="rId414" Type="http://schemas.openxmlformats.org/officeDocument/2006/relationships/hyperlink" Target="https://f95zone.to/threads/timeless-situation-v1-0-timelesssituation.133122/" TargetMode="External"/><Relationship Id="rId535" Type="http://schemas.openxmlformats.org/officeDocument/2006/relationships/hyperlink" Target="https://f95zone.to/threads/king-of-corpses-update-2-part-1-good-luck-ayd33.154972/" TargetMode="External"/><Relationship Id="rId656" Type="http://schemas.openxmlformats.org/officeDocument/2006/relationships/hyperlink" Target="https://f95zone.to/threads/control-the-town-v1-0-dollhouse.173225/" TargetMode="External"/><Relationship Id="rId413" Type="http://schemas.openxmlformats.org/officeDocument/2006/relationships/hyperlink" Target="https://f95zone.to/threads/secret-island-v0-1-0-0-nocturnaldev.133066/" TargetMode="External"/><Relationship Id="rId534" Type="http://schemas.openxmlformats.org/officeDocument/2006/relationships/hyperlink" Target="https://f95zone.to/threads/keepers-2-shattered-realms-v-0-1-ch-1-lumari.154857/" TargetMode="External"/><Relationship Id="rId655" Type="http://schemas.openxmlformats.org/officeDocument/2006/relationships/hyperlink" Target="https://f95zone.to/threads/spirit-lover-v0-1-public-shousaka94.173185/" TargetMode="External"/><Relationship Id="rId412" Type="http://schemas.openxmlformats.org/officeDocument/2006/relationships/hyperlink" Target="https://f95zone.to/threads/daemons-damsels-mythical-milfs-v0-01-arioh-daerthe.132791/" TargetMode="External"/><Relationship Id="rId533" Type="http://schemas.openxmlformats.org/officeDocument/2006/relationships/hyperlink" Target="https://f95zone.to/threads/isekailust-v1-0-beta-lustarchitect.154722/" TargetMode="External"/><Relationship Id="rId654" Type="http://schemas.openxmlformats.org/officeDocument/2006/relationships/hyperlink" Target="https://f95zone.to/threads/pokegirls-sex-adventure-ch-1-kraguto-games.172719/" TargetMode="External"/><Relationship Id="rId419" Type="http://schemas.openxmlformats.org/officeDocument/2006/relationships/hyperlink" Target="https://f95zone.to/threads/the-day-of-reckoning-v0-1-adventurestudio.133902/" TargetMode="External"/><Relationship Id="rId418" Type="http://schemas.openxmlformats.org/officeDocument/2006/relationships/hyperlink" Target="https://f95zone.to/threads/tokyo-academy-v0-1-waldovn.129166/" TargetMode="External"/><Relationship Id="rId539" Type="http://schemas.openxmlformats.org/officeDocument/2006/relationships/hyperlink" Target="https://f95zone.to/threads/your-rwby-fantasy-final-night.155290/" TargetMode="External"/><Relationship Id="rId417" Type="http://schemas.openxmlformats.org/officeDocument/2006/relationships/hyperlink" Target="https://f95zone.to/threads/hero-college-the-first-year-v0-1-beta-berrycake.132368/" TargetMode="External"/><Relationship Id="rId538" Type="http://schemas.openxmlformats.org/officeDocument/2006/relationships/hyperlink" Target="https://f95zone.to/threads/singularity-v0-1a-zerosg.155123/" TargetMode="External"/><Relationship Id="rId659" Type="http://schemas.openxmlformats.org/officeDocument/2006/relationships/hyperlink" Target="https://f95zone.to/threads/futas-world-of-ntr-v1-1-1-scarletgames.173314/" TargetMode="External"/><Relationship Id="rId416" Type="http://schemas.openxmlformats.org/officeDocument/2006/relationships/hyperlink" Target="https://f95zone.to/threads/pokesluts-v0-3-ebon-blite.133246/" TargetMode="External"/><Relationship Id="rId537" Type="http://schemas.openxmlformats.org/officeDocument/2006/relationships/hyperlink" Target="https://f95zone.to/threads/beach-fuck-with-mya-final-thatcombatwombat.155093/" TargetMode="External"/><Relationship Id="rId658" Type="http://schemas.openxmlformats.org/officeDocument/2006/relationships/hyperlink" Target="https://f95zone.to/threads/escape-from-the-nest-of-the-kissing-succubi-v1-00-lights-camera-action.173167/" TargetMode="External"/><Relationship Id="rId411" Type="http://schemas.openxmlformats.org/officeDocument/2006/relationships/hyperlink" Target="https://f95zone.to/threads/soles-of-lakeview-prologue-soniram.132551/" TargetMode="External"/><Relationship Id="rId532" Type="http://schemas.openxmlformats.org/officeDocument/2006/relationships/hyperlink" Target="https://f95zone.to/threads/stolen-bliss-v0-1-carnelian.154631/" TargetMode="External"/><Relationship Id="rId653" Type="http://schemas.openxmlformats.org/officeDocument/2006/relationships/hyperlink" Target="https://f95zone.to/threads/love-and-evil-things-v0-0-1-petals.172695/" TargetMode="External"/><Relationship Id="rId410" Type="http://schemas.openxmlformats.org/officeDocument/2006/relationships/hyperlink" Target="https://f95zone.to/threads/phantom-protocol-ep-1-0-cincinnatusgaming.132547/" TargetMode="External"/><Relationship Id="rId531" Type="http://schemas.openxmlformats.org/officeDocument/2006/relationships/hyperlink" Target="https://f95zone.to/threads/my-lust-academy-pos-v0-1-black-party.154504/" TargetMode="External"/><Relationship Id="rId652" Type="http://schemas.openxmlformats.org/officeDocument/2006/relationships/hyperlink" Target="https://f95zone.to/threads/dream-on-ep-1-bonehead-games.172476/" TargetMode="External"/><Relationship Id="rId530" Type="http://schemas.openxmlformats.org/officeDocument/2006/relationships/hyperlink" Target="https://f95zone.to/threads/sword-art-online-the-trap-of-breath-concealed-magic-v0-31-fujino.154352/" TargetMode="External"/><Relationship Id="rId651" Type="http://schemas.openxmlformats.org/officeDocument/2006/relationships/hyperlink" Target="https://f95zone.to/threads/sex-rhythm-onsen-v1-01-nekumasoft.172406/" TargetMode="External"/><Relationship Id="rId650" Type="http://schemas.openxmlformats.org/officeDocument/2006/relationships/hyperlink" Target="https://f95zone.to/threads/naughtyville-town-revelation-v0-1-droid-341-b.172369/" TargetMode="External"/><Relationship Id="rId206" Type="http://schemas.openxmlformats.org/officeDocument/2006/relationships/hyperlink" Target="https://f95zone.to/threads/that-time-i-got-reincarnated-but-stayed-a-chump-prototype-hedgecog-games.117559/" TargetMode="External"/><Relationship Id="rId327" Type="http://schemas.openxmlformats.org/officeDocument/2006/relationships/hyperlink" Target="https://f95zone.to/threads/a-little-hope-v0-2-wuz-littleneiko.68370/" TargetMode="External"/><Relationship Id="rId448" Type="http://schemas.openxmlformats.org/officeDocument/2006/relationships/hyperlink" Target="https://f95zone.to/threads/my-school-is-a-harem-v0-6-arkleoff.139059/" TargetMode="External"/><Relationship Id="rId569" Type="http://schemas.openxmlformats.org/officeDocument/2006/relationships/hyperlink" Target="https://f95zone.to/threads/my-perfect-sister-v0-0-2d-lulludev.159494/" TargetMode="External"/><Relationship Id="rId205" Type="http://schemas.openxmlformats.org/officeDocument/2006/relationships/hyperlink" Target="https://f95zone.to/threads/femdom-fighters-v8-alice452.88176/" TargetMode="External"/><Relationship Id="rId326" Type="http://schemas.openxmlformats.org/officeDocument/2006/relationships/hyperlink" Target="https://f95zone.to/threads/beautiful-dark-love-v0-1-2-beta-wasabi-wise2face.56092/" TargetMode="External"/><Relationship Id="rId447" Type="http://schemas.openxmlformats.org/officeDocument/2006/relationships/hyperlink" Target="https://f95zone.to/threads/seed-of-might-v0-0-2-barabosh.139049/" TargetMode="External"/><Relationship Id="rId568" Type="http://schemas.openxmlformats.org/officeDocument/2006/relationships/hyperlink" Target="https://f95zone.to/threads/neko-doll-final-neko-game.159404/" TargetMode="External"/><Relationship Id="rId689" Type="http://schemas.openxmlformats.org/officeDocument/2006/relationships/hyperlink" Target="https://f95zone.to/threads/bathroom-therapy-v1-0-wayward-void-god.179261/" TargetMode="External"/><Relationship Id="rId204" Type="http://schemas.openxmlformats.org/officeDocument/2006/relationships/hyperlink" Target="https://f95zone.to/threads/streaming-with-portals-v0-2-3-1-fierylion.118496/" TargetMode="External"/><Relationship Id="rId325" Type="http://schemas.openxmlformats.org/officeDocument/2006/relationships/hyperlink" Target="https://f95zone.to/threads/the-better-landlord-0-1-cherrypopkelo.74785/" TargetMode="External"/><Relationship Id="rId446" Type="http://schemas.openxmlformats.org/officeDocument/2006/relationships/hyperlink" Target="https://f95zone.to/threads/over-the-ashes-v0-1-psychosis.138955/" TargetMode="External"/><Relationship Id="rId567" Type="http://schemas.openxmlformats.org/officeDocument/2006/relationships/hyperlink" Target="https://f95zone.to/threads/roxannes-enf-game-v0-1-3-uwuzaki.159328/" TargetMode="External"/><Relationship Id="rId688" Type="http://schemas.openxmlformats.org/officeDocument/2006/relationships/hyperlink" Target="https://f95zone.to/threads/new-lives-new-pleasures-v0-0-1-guz.179250/" TargetMode="External"/><Relationship Id="rId203" Type="http://schemas.openxmlformats.org/officeDocument/2006/relationships/hyperlink" Target="https://f95zone.to/threads/out-of-touch-v2-27-public-story-anon.67494/" TargetMode="External"/><Relationship Id="rId324" Type="http://schemas.openxmlformats.org/officeDocument/2006/relationships/hyperlink" Target="https://f95zone.to/threads/the-tarnish-of-silver-v0-1-shino88.75293/" TargetMode="External"/><Relationship Id="rId445" Type="http://schemas.openxmlformats.org/officeDocument/2006/relationships/hyperlink" Target="https://f95zone.to/threads/the-king-of-summer-v0-1-1-no-try-studios.139047/" TargetMode="External"/><Relationship Id="rId566" Type="http://schemas.openxmlformats.org/officeDocument/2006/relationships/hyperlink" Target="https://f95zone.to/threads/sweet-beach-holidays-final-surf-pixels.159283/" TargetMode="External"/><Relationship Id="rId687" Type="http://schemas.openxmlformats.org/officeDocument/2006/relationships/hyperlink" Target="https://f95zone.to/threads/battle-fuck-simulator-v1-2-bejiya.179168/" TargetMode="External"/><Relationship Id="rId209" Type="http://schemas.openxmlformats.org/officeDocument/2006/relationships/hyperlink" Target="https://f95zone.to/threads/cumball-v0-1-cumball-game.116034/" TargetMode="External"/><Relationship Id="rId208" Type="http://schemas.openxmlformats.org/officeDocument/2006/relationships/hyperlink" Target="https://f95zone.to/threads/only-bugs-v0-2-antlyon.116291/" TargetMode="External"/><Relationship Id="rId329" Type="http://schemas.openxmlformats.org/officeDocument/2006/relationships/hyperlink" Target="https://f95zone.to/threads/off-the-beaten-path-v1-0-alpha-clad-in-a-flaxen-hue.98048/" TargetMode="External"/><Relationship Id="rId207" Type="http://schemas.openxmlformats.org/officeDocument/2006/relationships/hyperlink" Target="https://f95zone.to/threads/queens-of-domination-femtality-v0-2-0d-aerisetta.112217/" TargetMode="External"/><Relationship Id="rId328" Type="http://schemas.openxmlformats.org/officeDocument/2006/relationships/hyperlink" Target="https://f95zone.to/threads/sexy-shot-v0-2-1-greedylust23.70648/" TargetMode="External"/><Relationship Id="rId449" Type="http://schemas.openxmlformats.org/officeDocument/2006/relationships/hyperlink" Target="https://f95zone.to/threads/dissonance-v0-1-l_elyot.139173/" TargetMode="External"/><Relationship Id="rId440" Type="http://schemas.openxmlformats.org/officeDocument/2006/relationships/hyperlink" Target="https://f95zone.to/threads/mate-on-titan-v0-1-1-darknerious.136642/" TargetMode="External"/><Relationship Id="rId561" Type="http://schemas.openxmlformats.org/officeDocument/2006/relationships/hyperlink" Target="https://f95zone.to/threads/step-by-step-v0-1-psiandiameter.158957/" TargetMode="External"/><Relationship Id="rId682" Type="http://schemas.openxmlformats.org/officeDocument/2006/relationships/hyperlink" Target="https://f95zone.to/threads/fate-grand-steal-v0-1-intro-dinamite157.177452/" TargetMode="External"/><Relationship Id="rId560" Type="http://schemas.openxmlformats.org/officeDocument/2006/relationships/hyperlink" Target="https://f95zone.to/threads/dating-game-v1-0-sakayanagi2137.158787/" TargetMode="External"/><Relationship Id="rId681" Type="http://schemas.openxmlformats.org/officeDocument/2006/relationships/hyperlink" Target="https://f95zone.to/threads/sakuras-chapter-v1-0-fujino.176688/" TargetMode="External"/><Relationship Id="rId680" Type="http://schemas.openxmlformats.org/officeDocument/2006/relationships/hyperlink" Target="https://f95zone.to/threads/lust-n-farm-1-03-bewolftreize.176038/" TargetMode="External"/><Relationship Id="rId202" Type="http://schemas.openxmlformats.org/officeDocument/2006/relationships/hyperlink" Target="https://f95zone.to/threads/roachnighter-v0-3-2-antlyon.106026/" TargetMode="External"/><Relationship Id="rId323" Type="http://schemas.openxmlformats.org/officeDocument/2006/relationships/hyperlink" Target="https://f95zone.to/threads/autumm-memories-v1-0-paloma-studio.79858/" TargetMode="External"/><Relationship Id="rId444" Type="http://schemas.openxmlformats.org/officeDocument/2006/relationships/hyperlink" Target="https://f95zone.to/threads/by-another-name-v0-011-thornwell-studios.138444/" TargetMode="External"/><Relationship Id="rId565" Type="http://schemas.openxmlformats.org/officeDocument/2006/relationships/hyperlink" Target="https://f95zone.to/threads/rental-boyfriend-v0-1-leos-avn.159269/" TargetMode="External"/><Relationship Id="rId686" Type="http://schemas.openxmlformats.org/officeDocument/2006/relationships/hyperlink" Target="https://f95zone.to/threads/my-office-adventures-reunion-ep01r1-the-coder.178717/" TargetMode="External"/><Relationship Id="rId201" Type="http://schemas.openxmlformats.org/officeDocument/2006/relationships/hyperlink" Target="https://f95zone.to/threads/secret-care-cafe-v0-7-27-public-rare-alex.63911/" TargetMode="External"/><Relationship Id="rId322" Type="http://schemas.openxmlformats.org/officeDocument/2006/relationships/hyperlink" Target="https://f95zone.to/threads/the-primaries-v0-07-jojobrady.56273/" TargetMode="External"/><Relationship Id="rId443" Type="http://schemas.openxmlformats.org/officeDocument/2006/relationships/hyperlink" Target="https://f95zone.to/threads/sweet-summer-harem-v0-1-2-fynnegun.136746/" TargetMode="External"/><Relationship Id="rId564" Type="http://schemas.openxmlformats.org/officeDocument/2006/relationships/hyperlink" Target="https://f95zone.to/threads/kamiyama-ero-doki-school-v0-10-0b-erounic.159212/" TargetMode="External"/><Relationship Id="rId685" Type="http://schemas.openxmlformats.org/officeDocument/2006/relationships/hyperlink" Target="https://f95zone.to/threads/willow-blues-final-project-oak.178410/" TargetMode="External"/><Relationship Id="rId200" Type="http://schemas.openxmlformats.org/officeDocument/2006/relationships/hyperlink" Target="https://f95zone.to/threads/slime-outbreak-v0-3-3-fierylion.119966/" TargetMode="External"/><Relationship Id="rId321" Type="http://schemas.openxmlformats.org/officeDocument/2006/relationships/hyperlink" Target="https://f95zone.to/threads/sos-haven-ch-3-kazari-games.77995/" TargetMode="External"/><Relationship Id="rId442" Type="http://schemas.openxmlformats.org/officeDocument/2006/relationships/hyperlink" Target="https://f95zone.to/threads/support-v0-1-bunsgames.136988/" TargetMode="External"/><Relationship Id="rId563" Type="http://schemas.openxmlformats.org/officeDocument/2006/relationships/hyperlink" Target="https://f95zone.to/threads/najima-island-v0-3-velzies.156066/" TargetMode="External"/><Relationship Id="rId684" Type="http://schemas.openxmlformats.org/officeDocument/2006/relationships/hyperlink" Target="https://f95zone.to/threads/student-of-love-v0-1-0-sammievn.177892/" TargetMode="External"/><Relationship Id="rId320" Type="http://schemas.openxmlformats.org/officeDocument/2006/relationships/hyperlink" Target="https://f95zone.to/threads/new-born-king-v0-035-pink-peaches.77201/" TargetMode="External"/><Relationship Id="rId441" Type="http://schemas.openxmlformats.org/officeDocument/2006/relationships/hyperlink" Target="https://f95zone.to/threads/a-season-in-ecstasy-v0-1b-qiqi_games.136737/" TargetMode="External"/><Relationship Id="rId562" Type="http://schemas.openxmlformats.org/officeDocument/2006/relationships/hyperlink" Target="https://f95zone.to/threads/life-in-alphaville-v0-2-gameleaksstudio.159056/" TargetMode="External"/><Relationship Id="rId683" Type="http://schemas.openxmlformats.org/officeDocument/2006/relationships/hyperlink" Target="https://f95zone.to/threads/leopans-halloween-party-v1-0-upforkilling.177675/" TargetMode="External"/><Relationship Id="rId316" Type="http://schemas.openxmlformats.org/officeDocument/2006/relationships/hyperlink" Target="https://f95zone.to/threads/a-peaceful-life-episode-6-flyerpamphlet.86568/" TargetMode="External"/><Relationship Id="rId437" Type="http://schemas.openxmlformats.org/officeDocument/2006/relationships/hyperlink" Target="https://f95zone.to/threads/tales-of-a-dream-life-harem-ch-2-part1-sexlloween-special-kraguto-games.19893/" TargetMode="External"/><Relationship Id="rId558" Type="http://schemas.openxmlformats.org/officeDocument/2006/relationships/hyperlink" Target="https://f95zone.to/threads/esc-wars-v1-0-marv.158827/" TargetMode="External"/><Relationship Id="rId679" Type="http://schemas.openxmlformats.org/officeDocument/2006/relationships/hyperlink" Target="https://f95zone.to/threads/waifu-dreams-city-v0-9-5-6-waifu-dreams-studio.171962/" TargetMode="External"/><Relationship Id="rId315" Type="http://schemas.openxmlformats.org/officeDocument/2006/relationships/hyperlink" Target="https://f95zone.to/threads/retriever-demo-dodongomagnifico.71763/" TargetMode="External"/><Relationship Id="rId436" Type="http://schemas.openxmlformats.org/officeDocument/2006/relationships/hyperlink" Target="https://f95zone.to/threads/demonic-sexappeal-v0-1-mochingmochi.135795/" TargetMode="External"/><Relationship Id="rId557" Type="http://schemas.openxmlformats.org/officeDocument/2006/relationships/hyperlink" Target="https://f95zone.to/threads/harem-rpg-remastered-1m1-fylokon-games.158499/" TargetMode="External"/><Relationship Id="rId678" Type="http://schemas.openxmlformats.org/officeDocument/2006/relationships/hyperlink" Target="https://f95zone.to/threads/lusty-help-v0-2-hicharlotte.176916/" TargetMode="External"/><Relationship Id="rId314" Type="http://schemas.openxmlformats.org/officeDocument/2006/relationships/hyperlink" Target="https://f95zone.to/threads/lemonade-halloween-isnt-that-scary-v0-0-2-borstiii.100962/" TargetMode="External"/><Relationship Id="rId435" Type="http://schemas.openxmlformats.org/officeDocument/2006/relationships/hyperlink" Target="https://f95zone.to/threads/jads-halloween-special-v1-0-justanotherdegenerate.135788/" TargetMode="External"/><Relationship Id="rId556" Type="http://schemas.openxmlformats.org/officeDocument/2006/relationships/hyperlink" Target="https://f95zone.to/threads/routes-into-the-tomorrow-v0-01-voytsik.158336/" TargetMode="External"/><Relationship Id="rId677" Type="http://schemas.openxmlformats.org/officeDocument/2006/relationships/hyperlink" Target="https://f95zone.to/threads/welcome-to-the-friendship-club-v0-1-zorniteb.176376/" TargetMode="External"/><Relationship Id="rId313" Type="http://schemas.openxmlformats.org/officeDocument/2006/relationships/hyperlink" Target="https://f95zone.to/threads/sofia-needs-money-v0-2-blueshirt616.100970/" TargetMode="External"/><Relationship Id="rId434" Type="http://schemas.openxmlformats.org/officeDocument/2006/relationships/hyperlink" Target="https://f95zone.to/threads/gods-gift-to-this-wonderful-world-v0-1-grassfedlettuce.135612/" TargetMode="External"/><Relationship Id="rId555" Type="http://schemas.openxmlformats.org/officeDocument/2006/relationships/hyperlink" Target="https://f95zone.to/threads/chosen-destiny-v0-4-chosen-destiny.158320/" TargetMode="External"/><Relationship Id="rId676" Type="http://schemas.openxmlformats.org/officeDocument/2006/relationships/hyperlink" Target="https://f95zone.to/threads/breedtown-3-demo-thatcombatwombat.176136/" TargetMode="External"/><Relationship Id="rId319" Type="http://schemas.openxmlformats.org/officeDocument/2006/relationships/hyperlink" Target="https://f95zone.to/threads/my-waifus-feet-v0-4-srun123.79764/" TargetMode="External"/><Relationship Id="rId318" Type="http://schemas.openxmlformats.org/officeDocument/2006/relationships/hyperlink" Target="https://f95zone.to/threads/breaking-the-lust-v0-2-natch.81287/" TargetMode="External"/><Relationship Id="rId439" Type="http://schemas.openxmlformats.org/officeDocument/2006/relationships/hyperlink" Target="https://f95zone.to/threads/small-complex-v1-0-0-dontaco.136468/" TargetMode="External"/><Relationship Id="rId317" Type="http://schemas.openxmlformats.org/officeDocument/2006/relationships/hyperlink" Target="https://f95zone.to/threads/devilicious-v0-1-1-elusivedreams.79691/" TargetMode="External"/><Relationship Id="rId438" Type="http://schemas.openxmlformats.org/officeDocument/2006/relationships/hyperlink" Target="https://f95zone.to/threads/breaking-dreams-v0-1-spike-dog.136211/" TargetMode="External"/><Relationship Id="rId559" Type="http://schemas.openxmlformats.org/officeDocument/2006/relationships/hyperlink" Target="https://f95zone.to/threads/a-life-in-paradise-v0-1-alifeinparadise.158925/" TargetMode="External"/><Relationship Id="rId550" Type="http://schemas.openxmlformats.org/officeDocument/2006/relationships/hyperlink" Target="https://f95zone.to/threads/cold-comforts-demo-blissful-end-games.157122/" TargetMode="External"/><Relationship Id="rId671" Type="http://schemas.openxmlformats.org/officeDocument/2006/relationships/hyperlink" Target="https://f95zone.to/threads/animeverse-island-v0-12-pink-gum.174967/" TargetMode="External"/><Relationship Id="rId670" Type="http://schemas.openxmlformats.org/officeDocument/2006/relationships/hyperlink" Target="https://f95zone.to/threads/the-sirens-song-v0-42-maiie.175042/" TargetMode="External"/><Relationship Id="rId312" Type="http://schemas.openxmlformats.org/officeDocument/2006/relationships/hyperlink" Target="https://f95zone.to/threads/eternal-bonds-v0-1-petrichor-studio.101019/" TargetMode="External"/><Relationship Id="rId433" Type="http://schemas.openxmlformats.org/officeDocument/2006/relationships/hyperlink" Target="https://f95zone.to/threads/kaos-kates-krazy-and-lewd-adventure-final-onioncuttingninja.135444/" TargetMode="External"/><Relationship Id="rId554" Type="http://schemas.openxmlformats.org/officeDocument/2006/relationships/hyperlink" Target="https://f95zone.to/threads/fall-girls-v1-1-djweish.158229/" TargetMode="External"/><Relationship Id="rId675" Type="http://schemas.openxmlformats.org/officeDocument/2006/relationships/hyperlink" Target="https://f95zone.to/threads/succumb-what-my-martial-artist-fiancee-really-desires-v1-01-karaage-tomato.175838/" TargetMode="External"/><Relationship Id="rId311" Type="http://schemas.openxmlformats.org/officeDocument/2006/relationships/hyperlink" Target="https://f95zone.to/threads/after-stories-v0-1-remake-astrider.91880/" TargetMode="External"/><Relationship Id="rId432" Type="http://schemas.openxmlformats.org/officeDocument/2006/relationships/hyperlink" Target="https://f95zone.to/threads/dungeon-days-v0-01-buba.135334/" TargetMode="External"/><Relationship Id="rId553" Type="http://schemas.openxmlformats.org/officeDocument/2006/relationships/hyperlink" Target="https://f95zone.to/threads/blossom-valley-manager-v0-1-0-dragonmommyrhea.158116/" TargetMode="External"/><Relationship Id="rId674" Type="http://schemas.openxmlformats.org/officeDocument/2006/relationships/hyperlink" Target="https://f95zone.to/threads/my-pervy-poltergeist-v0-1-poopcicle.176520/" TargetMode="External"/><Relationship Id="rId310" Type="http://schemas.openxmlformats.org/officeDocument/2006/relationships/hyperlink" Target="https://f95zone.to/threads/give-or-take-v0-3-illadvised.98895/" TargetMode="External"/><Relationship Id="rId431" Type="http://schemas.openxmlformats.org/officeDocument/2006/relationships/hyperlink" Target="https://f95zone.to/threads/last-tour-final-asobi.135194/" TargetMode="External"/><Relationship Id="rId552" Type="http://schemas.openxmlformats.org/officeDocument/2006/relationships/hyperlink" Target="https://f95zone.to/threads/living-with-a-houri-v0-1-psiandiameter.157988/" TargetMode="External"/><Relationship Id="rId673" Type="http://schemas.openxmlformats.org/officeDocument/2006/relationships/hyperlink" Target="https://f95zone.to/threads/sao-v0-1-5-projectsao.175317/" TargetMode="External"/><Relationship Id="rId430" Type="http://schemas.openxmlformats.org/officeDocument/2006/relationships/hyperlink" Target="https://f95zone.to/threads/lewd-impact-v0-1-nasty-frog.135159/" TargetMode="External"/><Relationship Id="rId551" Type="http://schemas.openxmlformats.org/officeDocument/2006/relationships/hyperlink" Target="https://f95zone.to/threads/my-sweet-time-in-college-v0-0-1-kaph.157643/" TargetMode="External"/><Relationship Id="rId672" Type="http://schemas.openxmlformats.org/officeDocument/2006/relationships/hyperlink" Target="https://f95zone.to/threads/heroine-rumble-2-v0-12-enlit3d.16741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9.5"/>
    <col customWidth="1" min="3" max="3" width="72.0"/>
    <col customWidth="1" min="4" max="4" width="7.0"/>
    <col customWidth="1" min="5" max="5" width="9.5"/>
    <col customWidth="1" min="6" max="6" width="10.75"/>
    <col customWidth="1" min="7" max="7" width="10.13"/>
    <col customWidth="1" min="8" max="8" width="9.5"/>
    <col customWidth="1" min="9" max="9" width="72.0"/>
    <col customWidth="1" hidden="1" min="10" max="10" width="7.25"/>
    <col customWidth="1" hidden="1" min="11" max="11" width="6.75"/>
    <col customWidth="1" hidden="1" min="12" max="12" width="7.38"/>
    <col customWidth="1" min="13" max="13" width="7.38"/>
  </cols>
  <sheetData>
    <row r="1">
      <c r="A1" s="2"/>
      <c r="B1" s="4" t="s">
        <v>0</v>
      </c>
      <c r="C1" s="10" t="s">
        <v>2</v>
      </c>
      <c r="D1" s="10" t="s">
        <v>6</v>
      </c>
      <c r="E1" s="10" t="s">
        <v>7</v>
      </c>
      <c r="F1" s="10" t="s">
        <v>10</v>
      </c>
      <c r="G1" s="10" t="s">
        <v>11</v>
      </c>
      <c r="H1" s="10" t="s">
        <v>12</v>
      </c>
      <c r="I1" s="10" t="s">
        <v>13</v>
      </c>
      <c r="J1" s="15" t="s">
        <v>14</v>
      </c>
      <c r="K1" s="16" t="s">
        <v>17</v>
      </c>
      <c r="L1" s="17" t="s">
        <v>18</v>
      </c>
      <c r="M1" s="19"/>
    </row>
    <row r="2">
      <c r="A2" s="20"/>
      <c r="B2" s="22">
        <v>45136.0</v>
      </c>
      <c r="C2" s="23" t="s">
        <v>20</v>
      </c>
      <c r="D2" s="26" t="s">
        <v>21</v>
      </c>
      <c r="E2" s="27" t="s">
        <v>30</v>
      </c>
      <c r="F2" s="27" t="s">
        <v>31</v>
      </c>
      <c r="G2" s="27" t="s">
        <v>32</v>
      </c>
      <c r="H2" s="27" t="s">
        <v>35</v>
      </c>
      <c r="I2" s="23" t="s">
        <v>36</v>
      </c>
      <c r="J2" s="17">
        <v>63.0</v>
      </c>
      <c r="K2" s="17">
        <v>326.0</v>
      </c>
      <c r="L2" s="28"/>
      <c r="M2" s="19"/>
    </row>
    <row r="3">
      <c r="A3" s="20"/>
      <c r="B3" s="30">
        <v>45242.0</v>
      </c>
      <c r="C3" s="23" t="s">
        <v>39</v>
      </c>
      <c r="D3" s="26" t="s">
        <v>21</v>
      </c>
      <c r="E3" s="27" t="s">
        <v>30</v>
      </c>
      <c r="F3" s="27" t="s">
        <v>31</v>
      </c>
      <c r="G3" s="27" t="s">
        <v>32</v>
      </c>
      <c r="H3" s="27" t="s">
        <v>44</v>
      </c>
      <c r="I3" s="23" t="s">
        <v>45</v>
      </c>
      <c r="J3" s="28"/>
      <c r="K3" s="28"/>
      <c r="L3" s="28"/>
      <c r="M3" s="19"/>
    </row>
    <row r="4">
      <c r="A4" s="20"/>
      <c r="B4" s="33">
        <v>44728.0</v>
      </c>
      <c r="C4" s="23" t="s">
        <v>46</v>
      </c>
      <c r="D4" s="26" t="s">
        <v>21</v>
      </c>
      <c r="E4" s="27" t="s">
        <v>30</v>
      </c>
      <c r="F4" s="27" t="s">
        <v>31</v>
      </c>
      <c r="G4" s="27" t="s">
        <v>32</v>
      </c>
      <c r="H4" s="27" t="s">
        <v>52</v>
      </c>
      <c r="I4" s="23" t="s">
        <v>53</v>
      </c>
      <c r="J4" s="28"/>
      <c r="K4" s="28"/>
      <c r="L4" s="28"/>
      <c r="M4" s="34" t="s">
        <v>55</v>
      </c>
    </row>
    <row r="5">
      <c r="A5" s="20"/>
      <c r="B5" s="22">
        <v>44862.0</v>
      </c>
      <c r="C5" s="23" t="s">
        <v>56</v>
      </c>
      <c r="D5" s="26" t="s">
        <v>21</v>
      </c>
      <c r="E5" s="27" t="s">
        <v>30</v>
      </c>
      <c r="F5" s="27" t="s">
        <v>31</v>
      </c>
      <c r="G5" s="27" t="s">
        <v>32</v>
      </c>
      <c r="H5" s="27" t="s">
        <v>35</v>
      </c>
      <c r="I5" s="23" t="s">
        <v>59</v>
      </c>
      <c r="J5" s="17">
        <v>98.0</v>
      </c>
      <c r="K5" s="17">
        <v>414.0</v>
      </c>
      <c r="L5" s="28"/>
      <c r="M5" s="19"/>
    </row>
    <row r="6">
      <c r="A6" s="20"/>
      <c r="B6" s="22">
        <v>45215.0</v>
      </c>
      <c r="C6" s="23" t="s">
        <v>60</v>
      </c>
      <c r="D6" s="26" t="s">
        <v>21</v>
      </c>
      <c r="E6" s="27" t="s">
        <v>30</v>
      </c>
      <c r="F6" s="27" t="s">
        <v>31</v>
      </c>
      <c r="G6" s="27" t="s">
        <v>32</v>
      </c>
      <c r="H6" s="27" t="s">
        <v>44</v>
      </c>
      <c r="I6" s="23" t="s">
        <v>64</v>
      </c>
      <c r="J6" s="17">
        <v>99.0</v>
      </c>
      <c r="K6" s="17">
        <v>462.0</v>
      </c>
      <c r="L6" s="28"/>
      <c r="M6" s="19"/>
    </row>
    <row r="7">
      <c r="A7" s="20"/>
      <c r="B7" s="22">
        <v>44724.0</v>
      </c>
      <c r="C7" s="23" t="s">
        <v>65</v>
      </c>
      <c r="D7" s="26" t="s">
        <v>21</v>
      </c>
      <c r="E7" s="27" t="s">
        <v>30</v>
      </c>
      <c r="F7" s="27" t="s">
        <v>31</v>
      </c>
      <c r="G7" s="27" t="s">
        <v>32</v>
      </c>
      <c r="H7" s="27" t="s">
        <v>44</v>
      </c>
      <c r="I7" s="23" t="s">
        <v>70</v>
      </c>
      <c r="J7" s="17">
        <v>4.0</v>
      </c>
      <c r="K7" s="17">
        <v>19.0</v>
      </c>
      <c r="L7" s="28"/>
      <c r="M7" s="19"/>
    </row>
    <row r="8">
      <c r="A8" s="20"/>
      <c r="B8" s="22">
        <v>45150.0</v>
      </c>
      <c r="C8" s="39" t="s">
        <v>71</v>
      </c>
      <c r="D8" s="26" t="s">
        <v>21</v>
      </c>
      <c r="E8" s="27" t="s">
        <v>30</v>
      </c>
      <c r="F8" s="27" t="s">
        <v>31</v>
      </c>
      <c r="G8" s="27" t="s">
        <v>32</v>
      </c>
      <c r="H8" s="27" t="s">
        <v>44</v>
      </c>
      <c r="I8" s="23" t="s">
        <v>75</v>
      </c>
      <c r="J8" s="17">
        <v>195.0</v>
      </c>
      <c r="K8" s="17">
        <v>1273.0</v>
      </c>
      <c r="L8" s="28"/>
      <c r="M8" s="19"/>
    </row>
    <row r="9">
      <c r="A9" s="42" t="s">
        <v>76</v>
      </c>
      <c r="B9" s="22">
        <v>45203.0</v>
      </c>
      <c r="C9" s="23" t="s">
        <v>77</v>
      </c>
      <c r="D9" s="26" t="s">
        <v>21</v>
      </c>
      <c r="E9" s="27" t="s">
        <v>30</v>
      </c>
      <c r="F9" s="27" t="s">
        <v>31</v>
      </c>
      <c r="G9" s="27" t="s">
        <v>32</v>
      </c>
      <c r="H9" s="27" t="s">
        <v>44</v>
      </c>
      <c r="I9" s="23" t="s">
        <v>83</v>
      </c>
      <c r="J9" s="17">
        <v>225.0</v>
      </c>
      <c r="K9" s="17">
        <v>1090.0</v>
      </c>
      <c r="L9" s="28"/>
      <c r="M9" s="19"/>
    </row>
    <row r="10">
      <c r="A10" s="20"/>
      <c r="B10" s="22">
        <v>45186.0</v>
      </c>
      <c r="C10" s="23" t="s">
        <v>84</v>
      </c>
      <c r="D10" s="26" t="s">
        <v>21</v>
      </c>
      <c r="E10" s="27" t="s">
        <v>30</v>
      </c>
      <c r="F10" s="27" t="s">
        <v>31</v>
      </c>
      <c r="G10" s="27" t="s">
        <v>32</v>
      </c>
      <c r="H10" s="27" t="s">
        <v>44</v>
      </c>
      <c r="I10" s="23" t="s">
        <v>87</v>
      </c>
      <c r="J10" s="17">
        <v>209.0</v>
      </c>
      <c r="K10" s="17">
        <v>689.0</v>
      </c>
      <c r="L10" s="17" t="s">
        <v>88</v>
      </c>
      <c r="M10" s="34"/>
    </row>
    <row r="11">
      <c r="A11" s="20"/>
      <c r="B11" s="22">
        <v>45205.0</v>
      </c>
      <c r="C11" s="23" t="s">
        <v>89</v>
      </c>
      <c r="D11" s="26" t="s">
        <v>21</v>
      </c>
      <c r="E11" s="27" t="s">
        <v>30</v>
      </c>
      <c r="F11" s="27" t="s">
        <v>31</v>
      </c>
      <c r="G11" s="27" t="s">
        <v>32</v>
      </c>
      <c r="H11" s="27" t="s">
        <v>44</v>
      </c>
      <c r="I11" s="23" t="s">
        <v>90</v>
      </c>
      <c r="J11" s="17">
        <v>9.0</v>
      </c>
      <c r="K11" s="17">
        <v>51.0</v>
      </c>
      <c r="L11" s="28"/>
      <c r="M11" s="19"/>
    </row>
    <row r="12">
      <c r="A12" s="20"/>
      <c r="B12" s="22">
        <v>44975.0</v>
      </c>
      <c r="C12" s="23" t="s">
        <v>91</v>
      </c>
      <c r="D12" s="26" t="s">
        <v>21</v>
      </c>
      <c r="E12" s="27" t="s">
        <v>30</v>
      </c>
      <c r="F12" s="27" t="s">
        <v>31</v>
      </c>
      <c r="G12" s="27" t="s">
        <v>32</v>
      </c>
      <c r="H12" s="27" t="s">
        <v>44</v>
      </c>
      <c r="I12" s="48"/>
      <c r="J12" s="28"/>
      <c r="K12" s="28"/>
      <c r="L12" s="28"/>
      <c r="M12" s="19"/>
    </row>
    <row r="13">
      <c r="A13" s="20"/>
      <c r="B13" s="22">
        <v>45243.0</v>
      </c>
      <c r="C13" s="23" t="s">
        <v>93</v>
      </c>
      <c r="D13" s="26" t="s">
        <v>21</v>
      </c>
      <c r="E13" s="27" t="s">
        <v>30</v>
      </c>
      <c r="F13" s="27" t="s">
        <v>31</v>
      </c>
      <c r="G13" s="27" t="s">
        <v>32</v>
      </c>
      <c r="H13" s="27" t="s">
        <v>44</v>
      </c>
      <c r="I13" s="23" t="s">
        <v>96</v>
      </c>
      <c r="J13" s="17">
        <v>3840.0</v>
      </c>
      <c r="K13" s="17">
        <v>9057.0</v>
      </c>
      <c r="L13" s="28"/>
      <c r="M13" s="19"/>
    </row>
    <row r="14">
      <c r="A14" s="20"/>
      <c r="B14" s="22">
        <v>45129.0</v>
      </c>
      <c r="C14" s="23" t="s">
        <v>97</v>
      </c>
      <c r="D14" s="26" t="s">
        <v>21</v>
      </c>
      <c r="E14" s="27" t="s">
        <v>30</v>
      </c>
      <c r="F14" s="27" t="s">
        <v>31</v>
      </c>
      <c r="G14" s="27" t="s">
        <v>32</v>
      </c>
      <c r="H14" s="27" t="s">
        <v>44</v>
      </c>
      <c r="I14" s="23" t="s">
        <v>100</v>
      </c>
      <c r="J14" s="17">
        <v>96.0</v>
      </c>
      <c r="K14" s="17">
        <v>618.0</v>
      </c>
      <c r="L14" s="28"/>
      <c r="M14" s="19"/>
    </row>
    <row r="15">
      <c r="A15" s="20"/>
      <c r="B15" s="22">
        <v>45181.0</v>
      </c>
      <c r="C15" s="23" t="s">
        <v>101</v>
      </c>
      <c r="D15" s="26" t="s">
        <v>21</v>
      </c>
      <c r="E15" s="27" t="s">
        <v>30</v>
      </c>
      <c r="F15" s="27" t="s">
        <v>31</v>
      </c>
      <c r="G15" s="27" t="s">
        <v>32</v>
      </c>
      <c r="H15" s="27" t="s">
        <v>44</v>
      </c>
      <c r="I15" s="23" t="s">
        <v>104</v>
      </c>
      <c r="J15" s="17">
        <v>102.0</v>
      </c>
      <c r="K15" s="28"/>
      <c r="L15" s="28"/>
      <c r="M15" s="19"/>
    </row>
    <row r="16">
      <c r="A16" s="20"/>
      <c r="B16" s="22">
        <v>45112.0</v>
      </c>
      <c r="C16" s="23" t="s">
        <v>105</v>
      </c>
      <c r="D16" s="26" t="s">
        <v>21</v>
      </c>
      <c r="E16" s="27" t="s">
        <v>30</v>
      </c>
      <c r="F16" s="27" t="s">
        <v>31</v>
      </c>
      <c r="G16" s="27" t="s">
        <v>32</v>
      </c>
      <c r="H16" s="27" t="s">
        <v>44</v>
      </c>
      <c r="I16" s="23" t="s">
        <v>108</v>
      </c>
      <c r="J16" s="28"/>
      <c r="K16" s="28"/>
      <c r="L16" s="28"/>
      <c r="M16" s="19"/>
    </row>
    <row r="17">
      <c r="A17" s="20"/>
      <c r="B17" s="22">
        <v>45193.0</v>
      </c>
      <c r="C17" s="23" t="s">
        <v>109</v>
      </c>
      <c r="D17" s="26" t="s">
        <v>21</v>
      </c>
      <c r="E17" s="27" t="s">
        <v>30</v>
      </c>
      <c r="F17" s="27" t="s">
        <v>31</v>
      </c>
      <c r="G17" s="27" t="s">
        <v>32</v>
      </c>
      <c r="H17" s="27" t="s">
        <v>44</v>
      </c>
      <c r="I17" s="48"/>
      <c r="J17" s="28"/>
      <c r="K17" s="28"/>
      <c r="L17" s="28"/>
      <c r="M17" s="19"/>
    </row>
    <row r="18">
      <c r="A18" s="20"/>
      <c r="B18" s="22">
        <v>45181.0</v>
      </c>
      <c r="C18" s="23" t="s">
        <v>110</v>
      </c>
      <c r="D18" s="26" t="s">
        <v>21</v>
      </c>
      <c r="E18" s="27" t="s">
        <v>30</v>
      </c>
      <c r="F18" s="27" t="s">
        <v>31</v>
      </c>
      <c r="G18" s="27" t="s">
        <v>32</v>
      </c>
      <c r="H18" s="27" t="s">
        <v>44</v>
      </c>
      <c r="I18" s="23" t="s">
        <v>111</v>
      </c>
      <c r="J18" s="17">
        <v>36.0</v>
      </c>
      <c r="K18" s="17">
        <v>171.0</v>
      </c>
      <c r="L18" s="28"/>
      <c r="M18" s="19"/>
    </row>
    <row r="19">
      <c r="A19" s="20"/>
      <c r="B19" s="22">
        <v>45235.0</v>
      </c>
      <c r="C19" s="23" t="s">
        <v>112</v>
      </c>
      <c r="D19" s="26" t="s">
        <v>21</v>
      </c>
      <c r="E19" s="27" t="s">
        <v>30</v>
      </c>
      <c r="F19" s="27" t="s">
        <v>31</v>
      </c>
      <c r="G19" s="27" t="s">
        <v>32</v>
      </c>
      <c r="H19" s="27" t="s">
        <v>44</v>
      </c>
      <c r="I19" s="23" t="s">
        <v>113</v>
      </c>
      <c r="J19" s="17">
        <v>39.0</v>
      </c>
      <c r="K19" s="17">
        <v>1109.0</v>
      </c>
      <c r="L19" s="17" t="s">
        <v>88</v>
      </c>
      <c r="M19" s="34"/>
    </row>
    <row r="20">
      <c r="A20" s="20"/>
      <c r="B20" s="22">
        <v>44813.0</v>
      </c>
      <c r="C20" s="23" t="s">
        <v>114</v>
      </c>
      <c r="D20" s="26" t="s">
        <v>21</v>
      </c>
      <c r="E20" s="27" t="s">
        <v>30</v>
      </c>
      <c r="F20" s="27" t="s">
        <v>31</v>
      </c>
      <c r="G20" s="27" t="s">
        <v>32</v>
      </c>
      <c r="H20" s="27" t="s">
        <v>44</v>
      </c>
      <c r="I20" s="48"/>
      <c r="J20" s="28"/>
      <c r="K20" s="28"/>
      <c r="L20" s="28"/>
      <c r="M20" s="19"/>
    </row>
    <row r="21">
      <c r="A21" s="20"/>
      <c r="B21" s="22">
        <v>45170.0</v>
      </c>
      <c r="C21" s="23" t="s">
        <v>115</v>
      </c>
      <c r="D21" s="26" t="s">
        <v>21</v>
      </c>
      <c r="E21" s="27" t="s">
        <v>30</v>
      </c>
      <c r="F21" s="27" t="s">
        <v>31</v>
      </c>
      <c r="G21" s="27" t="s">
        <v>32</v>
      </c>
      <c r="H21" s="27" t="s">
        <v>44</v>
      </c>
      <c r="I21" s="48"/>
      <c r="J21" s="28"/>
      <c r="K21" s="28"/>
      <c r="L21" s="28"/>
      <c r="M21" s="19"/>
    </row>
    <row r="22">
      <c r="A22" s="20"/>
      <c r="B22" s="22">
        <v>45092.0</v>
      </c>
      <c r="C22" s="23" t="s">
        <v>116</v>
      </c>
      <c r="D22" s="26" t="s">
        <v>21</v>
      </c>
      <c r="E22" s="27" t="s">
        <v>30</v>
      </c>
      <c r="F22" s="27" t="s">
        <v>117</v>
      </c>
      <c r="G22" s="27" t="s">
        <v>32</v>
      </c>
      <c r="H22" s="27" t="s">
        <v>44</v>
      </c>
      <c r="I22" s="23" t="s">
        <v>118</v>
      </c>
      <c r="J22" s="17">
        <v>96.0</v>
      </c>
      <c r="K22" s="17">
        <v>618.0</v>
      </c>
      <c r="L22" s="28"/>
      <c r="M22" s="19"/>
    </row>
    <row r="23">
      <c r="A23" s="20"/>
      <c r="B23" s="22">
        <v>45246.0</v>
      </c>
      <c r="C23" s="23" t="s">
        <v>119</v>
      </c>
      <c r="D23" s="26" t="s">
        <v>21</v>
      </c>
      <c r="E23" s="27" t="s">
        <v>30</v>
      </c>
      <c r="F23" s="27" t="s">
        <v>31</v>
      </c>
      <c r="G23" s="27" t="s">
        <v>32</v>
      </c>
      <c r="H23" s="27" t="s">
        <v>44</v>
      </c>
      <c r="I23" s="23" t="s">
        <v>120</v>
      </c>
      <c r="J23" s="28"/>
      <c r="K23" s="28"/>
      <c r="L23" s="28"/>
      <c r="M23" s="19"/>
    </row>
    <row r="24">
      <c r="A24" s="42" t="s">
        <v>76</v>
      </c>
      <c r="B24" s="30">
        <v>44923.0</v>
      </c>
      <c r="C24" s="23" t="s">
        <v>121</v>
      </c>
      <c r="D24" s="26" t="s">
        <v>21</v>
      </c>
      <c r="E24" s="27" t="s">
        <v>30</v>
      </c>
      <c r="F24" s="27" t="s">
        <v>31</v>
      </c>
      <c r="G24" s="27" t="s">
        <v>32</v>
      </c>
      <c r="H24" s="27" t="s">
        <v>44</v>
      </c>
      <c r="I24" s="23" t="s">
        <v>122</v>
      </c>
      <c r="J24" s="17"/>
      <c r="K24" s="28"/>
      <c r="L24" s="17" t="s">
        <v>123</v>
      </c>
      <c r="M24" s="34"/>
    </row>
    <row r="25">
      <c r="A25" s="20"/>
      <c r="B25" s="22">
        <v>45106.0</v>
      </c>
      <c r="C25" s="23" t="s">
        <v>124</v>
      </c>
      <c r="D25" s="61" t="s">
        <v>21</v>
      </c>
      <c r="E25" s="27" t="s">
        <v>30</v>
      </c>
      <c r="F25" s="27" t="s">
        <v>31</v>
      </c>
      <c r="G25" s="27" t="s">
        <v>32</v>
      </c>
      <c r="H25" s="27" t="s">
        <v>44</v>
      </c>
      <c r="I25" s="23" t="s">
        <v>125</v>
      </c>
      <c r="J25" s="17">
        <v>42.0</v>
      </c>
      <c r="K25" s="17">
        <v>198.0</v>
      </c>
      <c r="L25" s="28"/>
      <c r="M25" s="19"/>
    </row>
    <row r="26">
      <c r="A26" s="20"/>
      <c r="B26" s="30">
        <v>45202.0</v>
      </c>
      <c r="C26" s="23" t="s">
        <v>126</v>
      </c>
      <c r="D26" s="26" t="s">
        <v>21</v>
      </c>
      <c r="E26" s="27" t="s">
        <v>30</v>
      </c>
      <c r="F26" s="27" t="s">
        <v>31</v>
      </c>
      <c r="G26" s="27" t="s">
        <v>32</v>
      </c>
      <c r="H26" s="27" t="s">
        <v>44</v>
      </c>
      <c r="I26" s="23" t="s">
        <v>127</v>
      </c>
      <c r="J26" s="28"/>
      <c r="K26" s="28"/>
      <c r="L26" s="28"/>
      <c r="M26" s="19"/>
    </row>
    <row r="27">
      <c r="A27" s="20"/>
      <c r="B27" s="22">
        <v>44966.0</v>
      </c>
      <c r="C27" s="23" t="s">
        <v>128</v>
      </c>
      <c r="D27" s="61" t="s">
        <v>21</v>
      </c>
      <c r="E27" s="27" t="s">
        <v>30</v>
      </c>
      <c r="F27" s="27" t="s">
        <v>31</v>
      </c>
      <c r="G27" s="27" t="s">
        <v>32</v>
      </c>
      <c r="H27" s="27" t="s">
        <v>44</v>
      </c>
      <c r="I27" s="23" t="s">
        <v>129</v>
      </c>
      <c r="J27" s="17">
        <v>7.0</v>
      </c>
      <c r="K27" s="17">
        <v>37.0</v>
      </c>
      <c r="L27" s="28"/>
      <c r="M27" s="19"/>
    </row>
    <row r="28">
      <c r="A28" s="20"/>
      <c r="B28" s="22">
        <v>45160.0</v>
      </c>
      <c r="C28" s="23" t="s">
        <v>130</v>
      </c>
      <c r="D28" s="26" t="s">
        <v>21</v>
      </c>
      <c r="E28" s="27" t="s">
        <v>30</v>
      </c>
      <c r="F28" s="27" t="s">
        <v>31</v>
      </c>
      <c r="G28" s="27" t="s">
        <v>32</v>
      </c>
      <c r="H28" s="27" t="s">
        <v>44</v>
      </c>
      <c r="I28" s="48"/>
      <c r="J28" s="28"/>
      <c r="K28" s="28"/>
      <c r="L28" s="28"/>
      <c r="M28" s="19"/>
    </row>
    <row r="29">
      <c r="A29" s="20"/>
      <c r="B29" s="22">
        <v>45157.0</v>
      </c>
      <c r="C29" s="23" t="s">
        <v>131</v>
      </c>
      <c r="D29" s="26" t="s">
        <v>21</v>
      </c>
      <c r="E29" s="27" t="s">
        <v>30</v>
      </c>
      <c r="F29" s="27" t="s">
        <v>31</v>
      </c>
      <c r="G29" s="27" t="s">
        <v>32</v>
      </c>
      <c r="H29" s="27" t="s">
        <v>44</v>
      </c>
      <c r="I29" s="23" t="s">
        <v>132</v>
      </c>
      <c r="J29" s="17"/>
      <c r="K29" s="28"/>
      <c r="L29" s="62" t="s">
        <v>133</v>
      </c>
      <c r="M29" s="34"/>
    </row>
    <row r="30">
      <c r="A30" s="20"/>
      <c r="B30" s="22">
        <v>44931.0</v>
      </c>
      <c r="C30" s="23" t="s">
        <v>134</v>
      </c>
      <c r="D30" s="26" t="s">
        <v>21</v>
      </c>
      <c r="E30" s="27" t="s">
        <v>30</v>
      </c>
      <c r="F30" s="27" t="s">
        <v>31</v>
      </c>
      <c r="G30" s="27" t="s">
        <v>32</v>
      </c>
      <c r="H30" s="27" t="s">
        <v>44</v>
      </c>
      <c r="I30" s="48"/>
      <c r="J30" s="28"/>
      <c r="K30" s="28"/>
      <c r="L30" s="28"/>
      <c r="M30" s="19"/>
    </row>
    <row r="31">
      <c r="A31" s="20"/>
      <c r="B31" s="22">
        <v>44964.0</v>
      </c>
      <c r="C31" s="23" t="s">
        <v>135</v>
      </c>
      <c r="D31" s="26" t="s">
        <v>21</v>
      </c>
      <c r="E31" s="27" t="s">
        <v>30</v>
      </c>
      <c r="F31" s="27" t="s">
        <v>31</v>
      </c>
      <c r="G31" s="27" t="s">
        <v>32</v>
      </c>
      <c r="H31" s="27" t="s">
        <v>35</v>
      </c>
      <c r="I31" s="23" t="s">
        <v>136</v>
      </c>
      <c r="J31" s="17">
        <v>0.0</v>
      </c>
      <c r="K31" s="17">
        <v>0.0</v>
      </c>
      <c r="L31" s="17" t="s">
        <v>137</v>
      </c>
      <c r="M31" s="34"/>
    </row>
    <row r="32">
      <c r="A32" s="20"/>
      <c r="B32" s="33">
        <v>44637.0</v>
      </c>
      <c r="C32" s="23" t="s">
        <v>138</v>
      </c>
      <c r="D32" s="26" t="s">
        <v>21</v>
      </c>
      <c r="E32" s="27" t="s">
        <v>30</v>
      </c>
      <c r="F32" s="27" t="s">
        <v>31</v>
      </c>
      <c r="G32" s="27" t="s">
        <v>32</v>
      </c>
      <c r="H32" s="27" t="s">
        <v>52</v>
      </c>
      <c r="I32" s="23" t="s">
        <v>139</v>
      </c>
      <c r="J32" s="17" t="s">
        <v>140</v>
      </c>
      <c r="K32" s="28"/>
      <c r="L32" s="28"/>
      <c r="M32" s="19"/>
    </row>
    <row r="33">
      <c r="A33" s="20"/>
      <c r="B33" s="22">
        <v>44636.0</v>
      </c>
      <c r="C33" s="23" t="s">
        <v>141</v>
      </c>
      <c r="D33" s="26" t="s">
        <v>21</v>
      </c>
      <c r="E33" s="27" t="s">
        <v>30</v>
      </c>
      <c r="F33" s="27" t="s">
        <v>31</v>
      </c>
      <c r="G33" s="27" t="s">
        <v>32</v>
      </c>
      <c r="H33" s="27" t="s">
        <v>52</v>
      </c>
      <c r="I33" s="48"/>
      <c r="J33" s="28"/>
      <c r="K33" s="28"/>
      <c r="L33" s="28"/>
      <c r="M33" s="19"/>
    </row>
    <row r="34">
      <c r="A34" s="20"/>
      <c r="B34" s="22">
        <v>45199.0</v>
      </c>
      <c r="C34" s="23" t="s">
        <v>142</v>
      </c>
      <c r="D34" s="26" t="s">
        <v>21</v>
      </c>
      <c r="E34" s="27" t="s">
        <v>30</v>
      </c>
      <c r="F34" s="27" t="s">
        <v>31</v>
      </c>
      <c r="G34" s="27" t="s">
        <v>32</v>
      </c>
      <c r="H34" s="27" t="s">
        <v>44</v>
      </c>
      <c r="I34" s="48"/>
      <c r="J34" s="28"/>
      <c r="K34" s="28"/>
      <c r="L34" s="28"/>
      <c r="M34" s="19"/>
    </row>
    <row r="35">
      <c r="A35" s="20"/>
      <c r="B35" s="22">
        <v>44959.0</v>
      </c>
      <c r="C35" s="23" t="s">
        <v>143</v>
      </c>
      <c r="D35" s="26" t="s">
        <v>21</v>
      </c>
      <c r="E35" s="27" t="s">
        <v>30</v>
      </c>
      <c r="F35" s="27" t="s">
        <v>31</v>
      </c>
      <c r="G35" s="27" t="s">
        <v>32</v>
      </c>
      <c r="H35" s="27" t="s">
        <v>44</v>
      </c>
      <c r="I35" s="23" t="s">
        <v>144</v>
      </c>
      <c r="J35" s="17">
        <v>45.0</v>
      </c>
      <c r="K35" s="28"/>
      <c r="L35" s="28"/>
      <c r="M35" s="19"/>
    </row>
    <row r="36">
      <c r="A36" s="20"/>
      <c r="B36" s="22">
        <v>44617.0</v>
      </c>
      <c r="C36" s="23" t="s">
        <v>145</v>
      </c>
      <c r="D36" s="26" t="s">
        <v>21</v>
      </c>
      <c r="E36" s="27" t="s">
        <v>30</v>
      </c>
      <c r="F36" s="27" t="s">
        <v>31</v>
      </c>
      <c r="G36" s="27" t="s">
        <v>32</v>
      </c>
      <c r="H36" s="27" t="s">
        <v>52</v>
      </c>
      <c r="I36" s="23" t="s">
        <v>146</v>
      </c>
      <c r="J36" s="28"/>
      <c r="K36" s="28"/>
      <c r="L36" s="28"/>
      <c r="M36" s="19"/>
    </row>
    <row r="37">
      <c r="A37" s="20"/>
      <c r="B37" s="22">
        <v>44776.0</v>
      </c>
      <c r="C37" s="23" t="s">
        <v>147</v>
      </c>
      <c r="D37" s="26" t="s">
        <v>21</v>
      </c>
      <c r="E37" s="27" t="s">
        <v>30</v>
      </c>
      <c r="F37" s="27" t="s">
        <v>31</v>
      </c>
      <c r="G37" s="27" t="s">
        <v>32</v>
      </c>
      <c r="H37" s="27" t="s">
        <v>44</v>
      </c>
      <c r="I37" s="23" t="s">
        <v>148</v>
      </c>
      <c r="J37" s="17">
        <v>22.0</v>
      </c>
      <c r="K37" s="28"/>
      <c r="L37" s="28"/>
      <c r="M37" s="19"/>
    </row>
    <row r="38">
      <c r="A38" s="20"/>
      <c r="B38" s="22">
        <v>44928.0</v>
      </c>
      <c r="C38" s="23" t="s">
        <v>149</v>
      </c>
      <c r="D38" s="26" t="s">
        <v>21</v>
      </c>
      <c r="E38" s="27" t="s">
        <v>30</v>
      </c>
      <c r="F38" s="27" t="s">
        <v>31</v>
      </c>
      <c r="G38" s="27" t="s">
        <v>32</v>
      </c>
      <c r="H38" s="27" t="s">
        <v>52</v>
      </c>
      <c r="I38" s="23" t="s">
        <v>150</v>
      </c>
      <c r="J38" s="17">
        <v>21.0</v>
      </c>
      <c r="K38" s="17">
        <v>122.0</v>
      </c>
      <c r="L38" s="28"/>
      <c r="M38" s="19"/>
    </row>
    <row r="39">
      <c r="A39" s="20"/>
      <c r="B39" s="33">
        <v>44597.0</v>
      </c>
      <c r="C39" s="23" t="s">
        <v>151</v>
      </c>
      <c r="D39" s="26" t="s">
        <v>21</v>
      </c>
      <c r="E39" s="27" t="s">
        <v>30</v>
      </c>
      <c r="F39" s="27" t="s">
        <v>31</v>
      </c>
      <c r="G39" s="27" t="s">
        <v>32</v>
      </c>
      <c r="H39" s="27" t="s">
        <v>44</v>
      </c>
      <c r="I39" s="23" t="s">
        <v>152</v>
      </c>
      <c r="J39" s="28"/>
      <c r="K39" s="28"/>
      <c r="L39" s="28"/>
      <c r="M39" s="19"/>
    </row>
    <row r="40">
      <c r="A40" s="20"/>
      <c r="B40" s="22">
        <v>44927.0</v>
      </c>
      <c r="C40" s="23" t="s">
        <v>153</v>
      </c>
      <c r="D40" s="26" t="s">
        <v>21</v>
      </c>
      <c r="E40" s="27" t="s">
        <v>30</v>
      </c>
      <c r="F40" s="27" t="s">
        <v>31</v>
      </c>
      <c r="G40" s="27" t="s">
        <v>32</v>
      </c>
      <c r="H40" s="27" t="s">
        <v>44</v>
      </c>
      <c r="I40" s="48"/>
      <c r="J40" s="28"/>
      <c r="K40" s="28"/>
      <c r="L40" s="28"/>
      <c r="M40" s="19"/>
    </row>
    <row r="41">
      <c r="A41" s="20"/>
      <c r="B41" s="22">
        <v>45136.0</v>
      </c>
      <c r="C41" s="23" t="s">
        <v>154</v>
      </c>
      <c r="D41" s="26" t="s">
        <v>21</v>
      </c>
      <c r="E41" s="27" t="s">
        <v>30</v>
      </c>
      <c r="F41" s="27" t="s">
        <v>117</v>
      </c>
      <c r="G41" s="27" t="s">
        <v>155</v>
      </c>
      <c r="H41" s="27" t="s">
        <v>44</v>
      </c>
      <c r="I41" s="23" t="s">
        <v>156</v>
      </c>
      <c r="J41" s="17">
        <v>147.0</v>
      </c>
      <c r="K41" s="17">
        <v>651.0</v>
      </c>
      <c r="L41" s="28"/>
      <c r="M41" s="19"/>
    </row>
    <row r="42">
      <c r="A42" s="20"/>
      <c r="B42" s="22">
        <v>44756.0</v>
      </c>
      <c r="C42" s="23" t="s">
        <v>157</v>
      </c>
      <c r="D42" s="26" t="s">
        <v>21</v>
      </c>
      <c r="E42" s="27" t="s">
        <v>30</v>
      </c>
      <c r="F42" s="27" t="s">
        <v>31</v>
      </c>
      <c r="G42" s="27" t="s">
        <v>32</v>
      </c>
      <c r="H42" s="27" t="s">
        <v>44</v>
      </c>
      <c r="I42" s="48"/>
      <c r="J42" s="28"/>
      <c r="K42" s="28"/>
      <c r="L42" s="28"/>
      <c r="M42" s="19"/>
    </row>
    <row r="43">
      <c r="A43" s="20"/>
      <c r="B43" s="22">
        <v>44908.0</v>
      </c>
      <c r="C43" s="23" t="s">
        <v>158</v>
      </c>
      <c r="D43" s="26" t="s">
        <v>21</v>
      </c>
      <c r="E43" s="27" t="s">
        <v>30</v>
      </c>
      <c r="F43" s="27" t="s">
        <v>31</v>
      </c>
      <c r="G43" s="27" t="s">
        <v>32</v>
      </c>
      <c r="H43" s="27" t="s">
        <v>44</v>
      </c>
      <c r="I43" s="48"/>
      <c r="J43" s="28"/>
      <c r="K43" s="28"/>
      <c r="L43" s="28"/>
      <c r="M43" s="19"/>
    </row>
    <row r="44">
      <c r="A44" s="20"/>
      <c r="B44" s="22">
        <v>45067.0</v>
      </c>
      <c r="C44" s="23" t="s">
        <v>159</v>
      </c>
      <c r="D44" s="26" t="s">
        <v>21</v>
      </c>
      <c r="E44" s="27" t="s">
        <v>30</v>
      </c>
      <c r="F44" s="27" t="s">
        <v>31</v>
      </c>
      <c r="G44" s="27" t="s">
        <v>32</v>
      </c>
      <c r="H44" s="27" t="s">
        <v>44</v>
      </c>
      <c r="I44" s="23" t="s">
        <v>160</v>
      </c>
      <c r="J44" s="17">
        <v>45.0</v>
      </c>
      <c r="K44" s="28"/>
      <c r="L44" s="28"/>
      <c r="M44" s="19"/>
    </row>
    <row r="45">
      <c r="A45" s="20"/>
      <c r="B45" s="22">
        <v>44372.0</v>
      </c>
      <c r="C45" s="23" t="s">
        <v>161</v>
      </c>
      <c r="D45" s="26" t="s">
        <v>21</v>
      </c>
      <c r="E45" s="27" t="s">
        <v>30</v>
      </c>
      <c r="F45" s="27" t="s">
        <v>31</v>
      </c>
      <c r="G45" s="27" t="s">
        <v>32</v>
      </c>
      <c r="H45" s="27" t="s">
        <v>35</v>
      </c>
      <c r="I45" s="23" t="s">
        <v>162</v>
      </c>
      <c r="J45" s="17">
        <v>138.0</v>
      </c>
      <c r="K45" s="17">
        <v>643.0</v>
      </c>
      <c r="L45" s="28"/>
      <c r="M45" s="19"/>
    </row>
    <row r="46">
      <c r="A46" s="20"/>
      <c r="B46" s="22">
        <v>44351.0</v>
      </c>
      <c r="C46" s="23" t="s">
        <v>163</v>
      </c>
      <c r="D46" s="26" t="s">
        <v>21</v>
      </c>
      <c r="E46" s="27" t="s">
        <v>30</v>
      </c>
      <c r="F46" s="27" t="s">
        <v>31</v>
      </c>
      <c r="G46" s="27" t="s">
        <v>32</v>
      </c>
      <c r="H46" s="27" t="s">
        <v>35</v>
      </c>
      <c r="I46" s="48"/>
      <c r="J46" s="28"/>
      <c r="K46" s="28"/>
      <c r="L46" s="28"/>
      <c r="M46" s="19"/>
    </row>
    <row r="47">
      <c r="A47" s="20"/>
      <c r="B47" s="22">
        <v>44850.0</v>
      </c>
      <c r="C47" s="23" t="s">
        <v>164</v>
      </c>
      <c r="D47" s="26" t="s">
        <v>21</v>
      </c>
      <c r="E47" s="27" t="s">
        <v>30</v>
      </c>
      <c r="F47" s="27" t="s">
        <v>117</v>
      </c>
      <c r="G47" s="27" t="s">
        <v>32</v>
      </c>
      <c r="H47" s="27" t="s">
        <v>35</v>
      </c>
      <c r="I47" s="23" t="s">
        <v>165</v>
      </c>
      <c r="J47" s="17">
        <v>96.0</v>
      </c>
      <c r="K47" s="17">
        <v>618.0</v>
      </c>
      <c r="L47" s="28"/>
      <c r="M47" s="19"/>
    </row>
    <row r="48">
      <c r="A48" s="20"/>
      <c r="B48" s="22">
        <v>45214.0</v>
      </c>
      <c r="C48" s="23" t="s">
        <v>166</v>
      </c>
      <c r="D48" s="26" t="s">
        <v>21</v>
      </c>
      <c r="E48" s="27" t="s">
        <v>30</v>
      </c>
      <c r="F48" s="27" t="s">
        <v>117</v>
      </c>
      <c r="G48" s="27" t="s">
        <v>32</v>
      </c>
      <c r="H48" s="27" t="s">
        <v>44</v>
      </c>
      <c r="I48" s="23" t="s">
        <v>167</v>
      </c>
      <c r="J48" s="17">
        <v>155.0</v>
      </c>
      <c r="K48" s="17">
        <v>789.0</v>
      </c>
      <c r="L48" s="28"/>
      <c r="M48" s="19"/>
    </row>
    <row r="49">
      <c r="A49" s="20"/>
      <c r="B49" s="22">
        <v>45235.0</v>
      </c>
      <c r="C49" s="23" t="s">
        <v>168</v>
      </c>
      <c r="D49" s="26" t="s">
        <v>21</v>
      </c>
      <c r="E49" s="27" t="s">
        <v>30</v>
      </c>
      <c r="F49" s="27" t="s">
        <v>117</v>
      </c>
      <c r="G49" s="27" t="s">
        <v>32</v>
      </c>
      <c r="H49" s="27" t="s">
        <v>44</v>
      </c>
      <c r="I49" s="23" t="s">
        <v>169</v>
      </c>
      <c r="J49" s="17">
        <v>4.0</v>
      </c>
      <c r="K49" s="28"/>
      <c r="L49" s="28"/>
      <c r="M49" s="19"/>
    </row>
    <row r="50">
      <c r="A50" s="42" t="s">
        <v>76</v>
      </c>
      <c r="B50" s="22">
        <v>45220.0</v>
      </c>
      <c r="C50" s="23" t="s">
        <v>170</v>
      </c>
      <c r="D50" s="26" t="s">
        <v>21</v>
      </c>
      <c r="E50" s="27" t="s">
        <v>30</v>
      </c>
      <c r="F50" s="27" t="s">
        <v>117</v>
      </c>
      <c r="G50" s="27" t="s">
        <v>32</v>
      </c>
      <c r="H50" s="27" t="s">
        <v>44</v>
      </c>
      <c r="I50" s="23" t="s">
        <v>83</v>
      </c>
      <c r="J50" s="17">
        <v>225.0</v>
      </c>
      <c r="K50" s="17">
        <v>1090.0</v>
      </c>
      <c r="L50" s="28"/>
      <c r="M50" s="19"/>
    </row>
    <row r="51">
      <c r="A51" s="20"/>
      <c r="B51" s="22">
        <v>45025.0</v>
      </c>
      <c r="C51" s="23" t="s">
        <v>171</v>
      </c>
      <c r="D51" s="26" t="s">
        <v>21</v>
      </c>
      <c r="E51" s="27" t="s">
        <v>30</v>
      </c>
      <c r="F51" s="27" t="s">
        <v>117</v>
      </c>
      <c r="G51" s="27" t="s">
        <v>32</v>
      </c>
      <c r="H51" s="27" t="s">
        <v>44</v>
      </c>
      <c r="I51" s="23"/>
      <c r="J51" s="28"/>
      <c r="K51" s="28"/>
      <c r="L51" s="28"/>
      <c r="M51" s="19"/>
    </row>
    <row r="52">
      <c r="A52" s="20"/>
      <c r="B52" s="22">
        <v>45241.0</v>
      </c>
      <c r="C52" s="23" t="s">
        <v>172</v>
      </c>
      <c r="D52" s="26" t="s">
        <v>21</v>
      </c>
      <c r="E52" s="27" t="s">
        <v>30</v>
      </c>
      <c r="F52" s="27" t="s">
        <v>117</v>
      </c>
      <c r="G52" s="27" t="s">
        <v>32</v>
      </c>
      <c r="H52" s="27" t="s">
        <v>44</v>
      </c>
      <c r="I52" s="48"/>
      <c r="J52" s="28"/>
      <c r="K52" s="28"/>
      <c r="L52" s="28"/>
      <c r="M52" s="19"/>
    </row>
    <row r="53">
      <c r="A53" s="20"/>
      <c r="B53" s="22">
        <v>45224.0</v>
      </c>
      <c r="C53" s="23" t="s">
        <v>173</v>
      </c>
      <c r="D53" s="26" t="s">
        <v>21</v>
      </c>
      <c r="E53" s="27" t="s">
        <v>30</v>
      </c>
      <c r="F53" s="27" t="s">
        <v>31</v>
      </c>
      <c r="G53" s="27" t="s">
        <v>32</v>
      </c>
      <c r="H53" s="27" t="s">
        <v>44</v>
      </c>
      <c r="I53" s="48"/>
      <c r="J53" s="28"/>
      <c r="K53" s="28"/>
      <c r="L53" s="28"/>
      <c r="M53" s="19"/>
    </row>
    <row r="54">
      <c r="A54" s="23"/>
      <c r="B54" s="22">
        <v>44728.0</v>
      </c>
      <c r="C54" s="23" t="s">
        <v>174</v>
      </c>
      <c r="D54" s="26" t="s">
        <v>21</v>
      </c>
      <c r="E54" s="27" t="s">
        <v>30</v>
      </c>
      <c r="F54" s="27" t="s">
        <v>175</v>
      </c>
      <c r="G54" s="27" t="s">
        <v>32</v>
      </c>
      <c r="H54" s="27" t="s">
        <v>52</v>
      </c>
      <c r="I54" s="48"/>
      <c r="J54" s="28"/>
      <c r="K54" s="28"/>
      <c r="L54" s="28"/>
      <c r="M54" s="19"/>
    </row>
    <row r="55">
      <c r="A55" s="20"/>
      <c r="B55" s="30">
        <v>44808.0</v>
      </c>
      <c r="C55" s="23" t="s">
        <v>176</v>
      </c>
      <c r="D55" s="26" t="s">
        <v>21</v>
      </c>
      <c r="E55" s="27" t="s">
        <v>30</v>
      </c>
      <c r="F55" s="27" t="s">
        <v>117</v>
      </c>
      <c r="G55" s="27" t="s">
        <v>32</v>
      </c>
      <c r="H55" s="27" t="s">
        <v>44</v>
      </c>
      <c r="I55" s="48"/>
      <c r="J55" s="28"/>
      <c r="K55" s="28"/>
      <c r="L55" s="28"/>
      <c r="M55" s="19"/>
    </row>
    <row r="56">
      <c r="A56" s="20"/>
      <c r="B56" s="22">
        <v>45242.0</v>
      </c>
      <c r="C56" s="23" t="s">
        <v>177</v>
      </c>
      <c r="D56" s="26" t="s">
        <v>21</v>
      </c>
      <c r="E56" s="27" t="s">
        <v>30</v>
      </c>
      <c r="F56" s="27" t="s">
        <v>31</v>
      </c>
      <c r="G56" s="27" t="s">
        <v>32</v>
      </c>
      <c r="H56" s="27" t="s">
        <v>44</v>
      </c>
      <c r="I56" s="23" t="s">
        <v>178</v>
      </c>
      <c r="J56" s="17">
        <v>190.0</v>
      </c>
      <c r="K56" s="28"/>
      <c r="L56" s="28"/>
      <c r="M56" s="19"/>
    </row>
    <row r="57">
      <c r="A57" s="42" t="s">
        <v>76</v>
      </c>
      <c r="B57" s="22">
        <v>44939.0</v>
      </c>
      <c r="C57" s="23" t="s">
        <v>179</v>
      </c>
      <c r="D57" s="26" t="s">
        <v>21</v>
      </c>
      <c r="E57" s="27" t="s">
        <v>30</v>
      </c>
      <c r="F57" s="27" t="s">
        <v>117</v>
      </c>
      <c r="G57" s="27" t="s">
        <v>32</v>
      </c>
      <c r="H57" s="27" t="s">
        <v>44</v>
      </c>
      <c r="I57" s="23" t="s">
        <v>180</v>
      </c>
      <c r="J57" s="17">
        <v>124.0</v>
      </c>
      <c r="K57" s="17">
        <v>650.0</v>
      </c>
      <c r="L57" s="28"/>
      <c r="M57" s="19"/>
    </row>
    <row r="58">
      <c r="A58" s="63" t="s">
        <v>181</v>
      </c>
      <c r="B58" s="22">
        <v>44726.0</v>
      </c>
      <c r="C58" s="23" t="s">
        <v>182</v>
      </c>
      <c r="D58" s="26" t="s">
        <v>21</v>
      </c>
      <c r="E58" s="27" t="s">
        <v>30</v>
      </c>
      <c r="F58" s="27" t="s">
        <v>117</v>
      </c>
      <c r="G58" s="27" t="s">
        <v>32</v>
      </c>
      <c r="H58" s="27" t="s">
        <v>44</v>
      </c>
      <c r="I58" s="48"/>
      <c r="J58" s="28"/>
      <c r="K58" s="28"/>
      <c r="L58" s="28"/>
      <c r="M58" s="19"/>
    </row>
    <row r="59">
      <c r="A59" s="20"/>
      <c r="B59" s="22">
        <v>44725.0</v>
      </c>
      <c r="C59" s="23" t="s">
        <v>183</v>
      </c>
      <c r="D59" s="26" t="s">
        <v>21</v>
      </c>
      <c r="E59" s="27" t="s">
        <v>30</v>
      </c>
      <c r="F59" s="27" t="s">
        <v>117</v>
      </c>
      <c r="G59" s="27" t="s">
        <v>32</v>
      </c>
      <c r="H59" s="27" t="s">
        <v>44</v>
      </c>
      <c r="I59" s="23" t="s">
        <v>184</v>
      </c>
      <c r="J59" s="17">
        <v>50.0</v>
      </c>
      <c r="K59" s="17">
        <v>159.0</v>
      </c>
      <c r="L59" s="28"/>
      <c r="M59" s="19"/>
    </row>
    <row r="60">
      <c r="A60" s="20"/>
      <c r="B60" s="30">
        <v>45109.0</v>
      </c>
      <c r="C60" s="23" t="s">
        <v>185</v>
      </c>
      <c r="D60" s="26" t="s">
        <v>21</v>
      </c>
      <c r="E60" s="27" t="s">
        <v>30</v>
      </c>
      <c r="F60" s="27" t="s">
        <v>117</v>
      </c>
      <c r="G60" s="27" t="s">
        <v>32</v>
      </c>
      <c r="H60" s="27" t="s">
        <v>44</v>
      </c>
      <c r="I60" s="23" t="s">
        <v>186</v>
      </c>
      <c r="J60" s="28"/>
      <c r="K60" s="28"/>
      <c r="L60" s="28"/>
      <c r="M60" s="19"/>
    </row>
    <row r="61">
      <c r="A61" s="20"/>
      <c r="B61" s="30">
        <v>45244.0</v>
      </c>
      <c r="C61" s="23" t="s">
        <v>187</v>
      </c>
      <c r="D61" s="26" t="s">
        <v>21</v>
      </c>
      <c r="E61" s="27" t="s">
        <v>30</v>
      </c>
      <c r="F61" s="27" t="s">
        <v>31</v>
      </c>
      <c r="G61" s="27" t="s">
        <v>32</v>
      </c>
      <c r="H61" s="27" t="s">
        <v>44</v>
      </c>
      <c r="I61" s="48"/>
      <c r="J61" s="28"/>
      <c r="K61" s="28"/>
      <c r="L61" s="28"/>
      <c r="M61" s="19"/>
    </row>
    <row r="62">
      <c r="A62" s="20"/>
      <c r="B62" s="30">
        <v>44927.0</v>
      </c>
      <c r="C62" s="23" t="s">
        <v>188</v>
      </c>
      <c r="D62" s="26" t="s">
        <v>21</v>
      </c>
      <c r="E62" s="27" t="s">
        <v>30</v>
      </c>
      <c r="F62" s="27" t="s">
        <v>31</v>
      </c>
      <c r="G62" s="27" t="s">
        <v>32</v>
      </c>
      <c r="H62" s="27" t="s">
        <v>44</v>
      </c>
      <c r="I62" s="23" t="s">
        <v>189</v>
      </c>
      <c r="J62" s="28"/>
      <c r="K62" s="28"/>
      <c r="L62" s="28"/>
      <c r="M62" s="19"/>
    </row>
    <row r="63">
      <c r="A63" s="20"/>
      <c r="B63" s="30">
        <v>44910.0</v>
      </c>
      <c r="C63" s="23" t="s">
        <v>190</v>
      </c>
      <c r="D63" s="26" t="s">
        <v>21</v>
      </c>
      <c r="E63" s="27" t="s">
        <v>30</v>
      </c>
      <c r="F63" s="27" t="s">
        <v>117</v>
      </c>
      <c r="G63" s="27" t="s">
        <v>191</v>
      </c>
      <c r="H63" s="27" t="s">
        <v>35</v>
      </c>
      <c r="I63" s="23" t="s">
        <v>192</v>
      </c>
      <c r="J63" s="17">
        <v>25.0</v>
      </c>
      <c r="K63" s="17">
        <v>62.0</v>
      </c>
      <c r="L63" s="28"/>
      <c r="M63" s="19"/>
    </row>
    <row r="64">
      <c r="A64" s="63" t="s">
        <v>193</v>
      </c>
      <c r="B64" s="30">
        <v>45026.0</v>
      </c>
      <c r="C64" s="23" t="s">
        <v>194</v>
      </c>
      <c r="D64" s="26" t="s">
        <v>21</v>
      </c>
      <c r="E64" s="27" t="s">
        <v>30</v>
      </c>
      <c r="F64" s="27" t="s">
        <v>117</v>
      </c>
      <c r="G64" s="27" t="s">
        <v>32</v>
      </c>
      <c r="H64" s="27" t="s">
        <v>35</v>
      </c>
      <c r="I64" s="48"/>
      <c r="J64" s="28"/>
      <c r="K64" s="28"/>
      <c r="L64" s="28"/>
      <c r="M64" s="19"/>
    </row>
    <row r="65">
      <c r="A65" s="20"/>
      <c r="B65" s="30">
        <v>45243.0</v>
      </c>
      <c r="C65" s="23" t="s">
        <v>195</v>
      </c>
      <c r="D65" s="26" t="s">
        <v>21</v>
      </c>
      <c r="E65" s="27" t="s">
        <v>30</v>
      </c>
      <c r="F65" s="27" t="s">
        <v>117</v>
      </c>
      <c r="G65" s="27" t="s">
        <v>32</v>
      </c>
      <c r="H65" s="27" t="s">
        <v>44</v>
      </c>
      <c r="I65" s="23" t="s">
        <v>129</v>
      </c>
      <c r="J65" s="17">
        <v>44.0</v>
      </c>
      <c r="K65" s="17">
        <v>195.0</v>
      </c>
      <c r="L65" s="28"/>
      <c r="M65" s="19"/>
    </row>
    <row r="66">
      <c r="A66" s="20"/>
      <c r="B66" s="22">
        <v>44718.0</v>
      </c>
      <c r="C66" s="23" t="s">
        <v>196</v>
      </c>
      <c r="D66" s="26" t="s">
        <v>21</v>
      </c>
      <c r="E66" s="27" t="s">
        <v>30</v>
      </c>
      <c r="F66" s="27" t="s">
        <v>117</v>
      </c>
      <c r="G66" s="27" t="s">
        <v>32</v>
      </c>
      <c r="H66" s="27" t="s">
        <v>44</v>
      </c>
      <c r="I66" s="48"/>
      <c r="J66" s="28"/>
      <c r="K66" s="28"/>
      <c r="L66" s="28"/>
      <c r="M66" s="19"/>
    </row>
    <row r="67">
      <c r="A67" s="20"/>
      <c r="B67" s="22">
        <v>45245.0</v>
      </c>
      <c r="C67" s="23" t="s">
        <v>197</v>
      </c>
      <c r="D67" s="26" t="s">
        <v>21</v>
      </c>
      <c r="E67" s="27" t="s">
        <v>30</v>
      </c>
      <c r="F67" s="27" t="s">
        <v>117</v>
      </c>
      <c r="G67" s="27" t="s">
        <v>32</v>
      </c>
      <c r="H67" s="27" t="s">
        <v>44</v>
      </c>
      <c r="I67" s="23" t="s">
        <v>198</v>
      </c>
      <c r="J67" s="28"/>
      <c r="K67" s="28"/>
      <c r="L67" s="28"/>
      <c r="M67" s="19"/>
    </row>
    <row r="68">
      <c r="A68" s="20"/>
      <c r="B68" s="22">
        <v>45117.0</v>
      </c>
      <c r="C68" s="23" t="s">
        <v>199</v>
      </c>
      <c r="D68" s="26" t="s">
        <v>21</v>
      </c>
      <c r="E68" s="27" t="s">
        <v>30</v>
      </c>
      <c r="F68" s="27" t="s">
        <v>117</v>
      </c>
      <c r="G68" s="27" t="s">
        <v>32</v>
      </c>
      <c r="H68" s="27" t="s">
        <v>44</v>
      </c>
      <c r="I68" s="48"/>
      <c r="J68" s="28"/>
      <c r="K68" s="28"/>
      <c r="L68" s="28"/>
      <c r="M68" s="19"/>
    </row>
    <row r="69">
      <c r="A69" s="42" t="s">
        <v>76</v>
      </c>
      <c r="B69" s="30">
        <v>45062.0</v>
      </c>
      <c r="C69" s="23" t="s">
        <v>200</v>
      </c>
      <c r="D69" s="26" t="s">
        <v>21</v>
      </c>
      <c r="E69" s="27" t="s">
        <v>30</v>
      </c>
      <c r="F69" s="27" t="s">
        <v>117</v>
      </c>
      <c r="G69" s="27" t="s">
        <v>32</v>
      </c>
      <c r="H69" s="27" t="s">
        <v>44</v>
      </c>
      <c r="I69" s="23" t="s">
        <v>201</v>
      </c>
      <c r="J69" s="28"/>
      <c r="K69" s="28"/>
      <c r="L69" s="28"/>
      <c r="M69" s="19"/>
    </row>
    <row r="70">
      <c r="A70" s="20"/>
      <c r="B70" s="22">
        <v>44713.0</v>
      </c>
      <c r="C70" s="23" t="s">
        <v>202</v>
      </c>
      <c r="D70" s="26" t="s">
        <v>21</v>
      </c>
      <c r="E70" s="27" t="s">
        <v>30</v>
      </c>
      <c r="F70" s="27" t="s">
        <v>117</v>
      </c>
      <c r="G70" s="27" t="s">
        <v>32</v>
      </c>
      <c r="H70" s="27" t="s">
        <v>52</v>
      </c>
      <c r="I70" s="48"/>
      <c r="J70" s="28"/>
      <c r="K70" s="28"/>
      <c r="L70" s="28"/>
      <c r="M70" s="19"/>
    </row>
    <row r="71">
      <c r="A71" s="20"/>
      <c r="B71" s="22">
        <v>45231.0</v>
      </c>
      <c r="C71" s="23" t="s">
        <v>203</v>
      </c>
      <c r="D71" s="26" t="s">
        <v>21</v>
      </c>
      <c r="E71" s="27" t="s">
        <v>30</v>
      </c>
      <c r="F71" s="27" t="s">
        <v>117</v>
      </c>
      <c r="G71" s="27" t="s">
        <v>32</v>
      </c>
      <c r="H71" s="27" t="s">
        <v>44</v>
      </c>
      <c r="I71" s="23" t="s">
        <v>204</v>
      </c>
      <c r="J71" s="17">
        <v>80.0</v>
      </c>
      <c r="K71" s="17">
        <v>524.0</v>
      </c>
      <c r="L71" s="17" t="s">
        <v>88</v>
      </c>
      <c r="M71" s="19"/>
    </row>
    <row r="72">
      <c r="A72" s="63" t="s">
        <v>181</v>
      </c>
      <c r="B72" s="22">
        <v>45238.0</v>
      </c>
      <c r="C72" s="23" t="s">
        <v>205</v>
      </c>
      <c r="D72" s="26" t="s">
        <v>21</v>
      </c>
      <c r="E72" s="27" t="s">
        <v>30</v>
      </c>
      <c r="F72" s="27" t="s">
        <v>117</v>
      </c>
      <c r="G72" s="27" t="s">
        <v>32</v>
      </c>
      <c r="H72" s="27" t="s">
        <v>44</v>
      </c>
      <c r="I72" s="48"/>
      <c r="J72" s="28"/>
      <c r="K72" s="28"/>
      <c r="L72" s="28"/>
      <c r="M72" s="19"/>
    </row>
    <row r="73">
      <c r="A73" s="20"/>
      <c r="B73" s="22">
        <v>45207.0</v>
      </c>
      <c r="C73" s="23" t="s">
        <v>206</v>
      </c>
      <c r="D73" s="26" t="s">
        <v>21</v>
      </c>
      <c r="E73" s="27" t="s">
        <v>30</v>
      </c>
      <c r="F73" s="27" t="s">
        <v>117</v>
      </c>
      <c r="G73" s="27" t="s">
        <v>32</v>
      </c>
      <c r="H73" s="27" t="s">
        <v>44</v>
      </c>
      <c r="I73" s="48"/>
      <c r="J73" s="28"/>
      <c r="K73" s="28"/>
      <c r="L73" s="28"/>
      <c r="M73" s="19"/>
    </row>
    <row r="74">
      <c r="A74" s="20"/>
      <c r="B74" s="22">
        <v>44707.0</v>
      </c>
      <c r="C74" s="23" t="s">
        <v>207</v>
      </c>
      <c r="D74" s="26" t="s">
        <v>21</v>
      </c>
      <c r="E74" s="27" t="s">
        <v>30</v>
      </c>
      <c r="F74" s="27" t="s">
        <v>117</v>
      </c>
      <c r="G74" s="27" t="s">
        <v>32</v>
      </c>
      <c r="H74" s="27" t="s">
        <v>52</v>
      </c>
      <c r="I74" s="48"/>
      <c r="J74" s="28"/>
      <c r="K74" s="28"/>
      <c r="L74" s="28"/>
      <c r="M74" s="19"/>
    </row>
    <row r="75">
      <c r="A75" s="63" t="s">
        <v>181</v>
      </c>
      <c r="B75" s="33">
        <v>44705.0</v>
      </c>
      <c r="C75" s="23" t="s">
        <v>208</v>
      </c>
      <c r="D75" s="26" t="s">
        <v>21</v>
      </c>
      <c r="E75" s="27" t="s">
        <v>30</v>
      </c>
      <c r="F75" s="27" t="s">
        <v>117</v>
      </c>
      <c r="G75" s="27" t="s">
        <v>32</v>
      </c>
      <c r="H75" s="27" t="s">
        <v>52</v>
      </c>
      <c r="I75" s="48"/>
      <c r="J75" s="28"/>
      <c r="K75" s="28"/>
      <c r="L75" s="28"/>
      <c r="M75" s="19"/>
    </row>
    <row r="76">
      <c r="A76" s="63" t="s">
        <v>181</v>
      </c>
      <c r="B76" s="22">
        <v>44702.0</v>
      </c>
      <c r="C76" s="23" t="s">
        <v>209</v>
      </c>
      <c r="D76" s="26" t="s">
        <v>21</v>
      </c>
      <c r="E76" s="27" t="s">
        <v>30</v>
      </c>
      <c r="F76" s="27" t="s">
        <v>117</v>
      </c>
      <c r="G76" s="27" t="s">
        <v>32</v>
      </c>
      <c r="H76" s="27" t="s">
        <v>44</v>
      </c>
      <c r="I76" s="48"/>
      <c r="J76" s="28"/>
      <c r="K76" s="28"/>
      <c r="L76" s="28"/>
      <c r="M76" s="19"/>
    </row>
    <row r="77">
      <c r="A77" s="20"/>
      <c r="B77" s="22">
        <v>45238.0</v>
      </c>
      <c r="C77" s="23" t="s">
        <v>210</v>
      </c>
      <c r="D77" s="26" t="s">
        <v>21</v>
      </c>
      <c r="E77" s="27" t="s">
        <v>30</v>
      </c>
      <c r="F77" s="27" t="s">
        <v>117</v>
      </c>
      <c r="G77" s="27" t="s">
        <v>32</v>
      </c>
      <c r="H77" s="27" t="s">
        <v>44</v>
      </c>
      <c r="I77" s="48"/>
      <c r="J77" s="28"/>
      <c r="K77" s="28"/>
      <c r="L77" s="28"/>
      <c r="M77" s="19"/>
    </row>
    <row r="78">
      <c r="A78" s="20"/>
      <c r="B78" s="22">
        <v>45083.0</v>
      </c>
      <c r="C78" s="23" t="s">
        <v>211</v>
      </c>
      <c r="D78" s="26" t="s">
        <v>21</v>
      </c>
      <c r="E78" s="27" t="s">
        <v>30</v>
      </c>
      <c r="F78" s="27" t="s">
        <v>117</v>
      </c>
      <c r="G78" s="27" t="s">
        <v>32</v>
      </c>
      <c r="H78" s="27" t="s">
        <v>44</v>
      </c>
      <c r="I78" s="48"/>
      <c r="J78" s="28"/>
      <c r="K78" s="28"/>
      <c r="L78" s="28"/>
      <c r="M78" s="19"/>
    </row>
    <row r="79">
      <c r="A79" s="20"/>
      <c r="B79" s="22">
        <v>45098.0</v>
      </c>
      <c r="C79" s="23" t="s">
        <v>212</v>
      </c>
      <c r="D79" s="26" t="s">
        <v>21</v>
      </c>
      <c r="E79" s="27" t="s">
        <v>30</v>
      </c>
      <c r="F79" s="27" t="s">
        <v>117</v>
      </c>
      <c r="G79" s="27" t="s">
        <v>32</v>
      </c>
      <c r="H79" s="27" t="s">
        <v>44</v>
      </c>
      <c r="I79" s="48"/>
      <c r="J79" s="28"/>
      <c r="K79" s="28"/>
      <c r="L79" s="28"/>
      <c r="M79" s="19"/>
    </row>
    <row r="80">
      <c r="A80" s="20"/>
      <c r="B80" s="22">
        <v>45184.0</v>
      </c>
      <c r="C80" s="23" t="s">
        <v>213</v>
      </c>
      <c r="D80" s="26" t="s">
        <v>21</v>
      </c>
      <c r="E80" s="27" t="s">
        <v>30</v>
      </c>
      <c r="F80" s="27" t="s">
        <v>117</v>
      </c>
      <c r="G80" s="27" t="s">
        <v>32</v>
      </c>
      <c r="H80" s="27" t="s">
        <v>44</v>
      </c>
      <c r="I80" s="23" t="s">
        <v>214</v>
      </c>
      <c r="J80" s="17">
        <v>276.0</v>
      </c>
      <c r="K80" s="17">
        <v>721.0</v>
      </c>
      <c r="L80" s="28"/>
      <c r="M80" s="19"/>
    </row>
    <row r="81">
      <c r="A81" s="63" t="s">
        <v>181</v>
      </c>
      <c r="B81" s="22">
        <v>45079.0</v>
      </c>
      <c r="C81" s="23" t="s">
        <v>215</v>
      </c>
      <c r="D81" s="26" t="s">
        <v>21</v>
      </c>
      <c r="E81" s="27" t="s">
        <v>30</v>
      </c>
      <c r="F81" s="27" t="s">
        <v>117</v>
      </c>
      <c r="G81" s="27" t="s">
        <v>32</v>
      </c>
      <c r="H81" s="27" t="s">
        <v>44</v>
      </c>
      <c r="I81" s="48"/>
      <c r="J81" s="28"/>
      <c r="K81" s="28"/>
      <c r="L81" s="28"/>
      <c r="M81" s="19"/>
    </row>
    <row r="82">
      <c r="A82" s="63" t="s">
        <v>181</v>
      </c>
      <c r="B82" s="22">
        <v>45177.0</v>
      </c>
      <c r="C82" s="23" t="s">
        <v>216</v>
      </c>
      <c r="D82" s="61" t="s">
        <v>21</v>
      </c>
      <c r="E82" s="27" t="s">
        <v>30</v>
      </c>
      <c r="F82" s="27" t="s">
        <v>31</v>
      </c>
      <c r="G82" s="27" t="s">
        <v>32</v>
      </c>
      <c r="H82" s="27" t="s">
        <v>44</v>
      </c>
      <c r="I82" s="48"/>
      <c r="J82" s="28"/>
      <c r="K82" s="28"/>
      <c r="L82" s="28"/>
      <c r="M82" s="19"/>
    </row>
    <row r="83">
      <c r="A83" s="63" t="s">
        <v>181</v>
      </c>
      <c r="B83" s="22">
        <v>44690.0</v>
      </c>
      <c r="C83" s="23" t="s">
        <v>217</v>
      </c>
      <c r="D83" s="26" t="s">
        <v>21</v>
      </c>
      <c r="E83" s="27" t="s">
        <v>30</v>
      </c>
      <c r="F83" s="27" t="s">
        <v>117</v>
      </c>
      <c r="G83" s="27" t="s">
        <v>32</v>
      </c>
      <c r="H83" s="27" t="s">
        <v>52</v>
      </c>
      <c r="I83" s="48"/>
      <c r="J83" s="28"/>
      <c r="K83" s="28"/>
      <c r="L83" s="28"/>
      <c r="M83" s="19"/>
    </row>
    <row r="84">
      <c r="A84" s="20"/>
      <c r="B84" s="22">
        <v>45083.0</v>
      </c>
      <c r="C84" s="23" t="s">
        <v>218</v>
      </c>
      <c r="D84" s="26" t="s">
        <v>21</v>
      </c>
      <c r="E84" s="27" t="s">
        <v>30</v>
      </c>
      <c r="F84" s="27" t="s">
        <v>117</v>
      </c>
      <c r="G84" s="27" t="s">
        <v>32</v>
      </c>
      <c r="H84" s="27" t="s">
        <v>35</v>
      </c>
      <c r="I84" s="23" t="s">
        <v>219</v>
      </c>
      <c r="J84" s="17">
        <v>0.0</v>
      </c>
      <c r="K84" s="17">
        <v>0.0</v>
      </c>
      <c r="L84" s="17" t="s">
        <v>137</v>
      </c>
      <c r="M84" s="19"/>
    </row>
    <row r="85">
      <c r="A85" s="20"/>
      <c r="B85" s="22">
        <v>45053.0</v>
      </c>
      <c r="C85" s="23" t="s">
        <v>220</v>
      </c>
      <c r="D85" s="26" t="s">
        <v>21</v>
      </c>
      <c r="E85" s="27" t="s">
        <v>30</v>
      </c>
      <c r="F85" s="27" t="s">
        <v>117</v>
      </c>
      <c r="G85" s="27" t="s">
        <v>32</v>
      </c>
      <c r="H85" s="27" t="s">
        <v>44</v>
      </c>
      <c r="I85" s="23" t="s">
        <v>221</v>
      </c>
      <c r="J85" s="17">
        <v>15.0</v>
      </c>
      <c r="K85" s="17">
        <v>85.0</v>
      </c>
      <c r="L85" s="28"/>
      <c r="M85" s="19"/>
    </row>
    <row r="86">
      <c r="A86" s="20"/>
      <c r="B86" s="22">
        <v>44885.0</v>
      </c>
      <c r="C86" s="23" t="s">
        <v>222</v>
      </c>
      <c r="D86" s="26" t="s">
        <v>21</v>
      </c>
      <c r="E86" s="27" t="s">
        <v>30</v>
      </c>
      <c r="F86" s="27" t="s">
        <v>117</v>
      </c>
      <c r="G86" s="27" t="s">
        <v>32</v>
      </c>
      <c r="H86" s="27" t="s">
        <v>44</v>
      </c>
      <c r="I86" s="23" t="s">
        <v>223</v>
      </c>
      <c r="J86" s="17">
        <v>13.0</v>
      </c>
      <c r="K86" s="17">
        <v>68.0</v>
      </c>
      <c r="L86" s="17" t="s">
        <v>88</v>
      </c>
      <c r="M86" s="19"/>
    </row>
    <row r="87">
      <c r="A87" s="42" t="s">
        <v>76</v>
      </c>
      <c r="B87" s="22">
        <v>45202.0</v>
      </c>
      <c r="C87" s="23" t="s">
        <v>224</v>
      </c>
      <c r="D87" s="26" t="s">
        <v>21</v>
      </c>
      <c r="E87" s="27" t="s">
        <v>30</v>
      </c>
      <c r="F87" s="27" t="s">
        <v>117</v>
      </c>
      <c r="G87" s="27" t="s">
        <v>32</v>
      </c>
      <c r="H87" s="27" t="s">
        <v>44</v>
      </c>
      <c r="I87" s="23" t="s">
        <v>225</v>
      </c>
      <c r="J87" s="17">
        <v>149.0</v>
      </c>
      <c r="K87" s="17">
        <v>668.0</v>
      </c>
      <c r="L87" s="28"/>
      <c r="M87" s="19"/>
    </row>
    <row r="88">
      <c r="A88" s="20"/>
      <c r="B88" s="22">
        <v>45036.0</v>
      </c>
      <c r="C88" s="23" t="s">
        <v>226</v>
      </c>
      <c r="D88" s="26" t="s">
        <v>21</v>
      </c>
      <c r="E88" s="27" t="s">
        <v>30</v>
      </c>
      <c r="F88" s="27" t="s">
        <v>117</v>
      </c>
      <c r="G88" s="27" t="s">
        <v>32</v>
      </c>
      <c r="H88" s="27" t="s">
        <v>44</v>
      </c>
      <c r="I88" s="23" t="s">
        <v>227</v>
      </c>
      <c r="J88" s="17">
        <v>13.0</v>
      </c>
      <c r="K88" s="17">
        <v>25.0</v>
      </c>
      <c r="L88" s="28"/>
      <c r="M88" s="19"/>
    </row>
    <row r="89">
      <c r="A89" s="20"/>
      <c r="B89" s="22">
        <v>45021.0</v>
      </c>
      <c r="C89" s="23" t="s">
        <v>228</v>
      </c>
      <c r="D89" s="61" t="s">
        <v>21</v>
      </c>
      <c r="E89" s="27" t="s">
        <v>30</v>
      </c>
      <c r="F89" s="27" t="s">
        <v>117</v>
      </c>
      <c r="G89" s="27" t="s">
        <v>32</v>
      </c>
      <c r="H89" s="64" t="s">
        <v>35</v>
      </c>
      <c r="I89" s="23" t="s">
        <v>229</v>
      </c>
      <c r="J89" s="17">
        <v>51.0</v>
      </c>
      <c r="K89" s="17">
        <v>289.0</v>
      </c>
      <c r="L89" s="28"/>
      <c r="M89" s="19"/>
    </row>
    <row r="90">
      <c r="A90" s="42" t="s">
        <v>76</v>
      </c>
      <c r="B90" s="22">
        <v>45065.0</v>
      </c>
      <c r="C90" s="23" t="s">
        <v>230</v>
      </c>
      <c r="D90" s="26" t="s">
        <v>21</v>
      </c>
      <c r="E90" s="27" t="s">
        <v>30</v>
      </c>
      <c r="F90" s="27" t="s">
        <v>117</v>
      </c>
      <c r="G90" s="27" t="s">
        <v>32</v>
      </c>
      <c r="H90" s="27" t="s">
        <v>44</v>
      </c>
      <c r="I90" s="23" t="s">
        <v>201</v>
      </c>
      <c r="J90" s="17">
        <v>207.0</v>
      </c>
      <c r="K90" s="28"/>
      <c r="L90" s="28"/>
      <c r="M90" s="19"/>
    </row>
    <row r="91">
      <c r="A91" s="20"/>
      <c r="B91" s="33">
        <v>44690.0</v>
      </c>
      <c r="C91" s="23" t="s">
        <v>231</v>
      </c>
      <c r="D91" s="26" t="s">
        <v>21</v>
      </c>
      <c r="E91" s="27" t="s">
        <v>30</v>
      </c>
      <c r="F91" s="27" t="s">
        <v>117</v>
      </c>
      <c r="G91" s="27" t="s">
        <v>32</v>
      </c>
      <c r="H91" s="27" t="s">
        <v>44</v>
      </c>
      <c r="I91" s="23" t="s">
        <v>232</v>
      </c>
      <c r="J91" s="28"/>
      <c r="K91" s="28"/>
      <c r="L91" s="28"/>
      <c r="M91" s="19"/>
    </row>
    <row r="92">
      <c r="A92" s="20"/>
      <c r="B92" s="22">
        <v>44678.0</v>
      </c>
      <c r="C92" s="23" t="s">
        <v>233</v>
      </c>
      <c r="D92" s="26" t="s">
        <v>21</v>
      </c>
      <c r="E92" s="27" t="s">
        <v>30</v>
      </c>
      <c r="F92" s="27" t="s">
        <v>117</v>
      </c>
      <c r="G92" s="27" t="s">
        <v>32</v>
      </c>
      <c r="H92" s="27" t="s">
        <v>52</v>
      </c>
      <c r="I92" s="23" t="s">
        <v>234</v>
      </c>
      <c r="J92" s="28"/>
      <c r="K92" s="28"/>
      <c r="L92" s="28"/>
      <c r="M92" s="19"/>
    </row>
    <row r="93">
      <c r="A93" s="20"/>
      <c r="B93" s="22">
        <v>45240.0</v>
      </c>
      <c r="C93" s="23" t="s">
        <v>235</v>
      </c>
      <c r="D93" s="26" t="s">
        <v>21</v>
      </c>
      <c r="E93" s="27" t="s">
        <v>30</v>
      </c>
      <c r="F93" s="27" t="s">
        <v>117</v>
      </c>
      <c r="G93" s="27" t="s">
        <v>32</v>
      </c>
      <c r="H93" s="27" t="s">
        <v>44</v>
      </c>
      <c r="I93" s="23" t="s">
        <v>236</v>
      </c>
      <c r="J93" s="17">
        <v>3.0</v>
      </c>
      <c r="K93" s="28"/>
      <c r="L93" s="28"/>
      <c r="M93" s="19"/>
    </row>
    <row r="94">
      <c r="A94" s="20"/>
      <c r="B94" s="30">
        <v>44787.0</v>
      </c>
      <c r="C94" s="23" t="s">
        <v>237</v>
      </c>
      <c r="D94" s="26" t="s">
        <v>21</v>
      </c>
      <c r="E94" s="27" t="s">
        <v>30</v>
      </c>
      <c r="F94" s="27" t="s">
        <v>117</v>
      </c>
      <c r="G94" s="27" t="s">
        <v>32</v>
      </c>
      <c r="H94" s="27" t="s">
        <v>44</v>
      </c>
      <c r="I94" s="23" t="s">
        <v>238</v>
      </c>
      <c r="J94" s="28"/>
      <c r="K94" s="28"/>
      <c r="L94" s="28"/>
      <c r="M94" s="19"/>
    </row>
    <row r="95">
      <c r="A95" s="20"/>
      <c r="B95" s="22">
        <v>44771.0</v>
      </c>
      <c r="C95" s="23" t="s">
        <v>239</v>
      </c>
      <c r="D95" s="26" t="s">
        <v>21</v>
      </c>
      <c r="E95" s="27" t="s">
        <v>30</v>
      </c>
      <c r="F95" s="27" t="s">
        <v>117</v>
      </c>
      <c r="G95" s="27" t="s">
        <v>32</v>
      </c>
      <c r="H95" s="27" t="s">
        <v>35</v>
      </c>
      <c r="I95" s="23" t="s">
        <v>240</v>
      </c>
      <c r="J95" s="17">
        <v>8.0</v>
      </c>
      <c r="K95" s="17">
        <v>6.0</v>
      </c>
      <c r="L95" s="28"/>
      <c r="M95" s="19"/>
    </row>
    <row r="96">
      <c r="A96" s="20"/>
      <c r="B96" s="30">
        <v>45193.0</v>
      </c>
      <c r="C96" s="23" t="s">
        <v>241</v>
      </c>
      <c r="D96" s="26" t="s">
        <v>21</v>
      </c>
      <c r="E96" s="27" t="s">
        <v>30</v>
      </c>
      <c r="F96" s="27" t="s">
        <v>117</v>
      </c>
      <c r="G96" s="27" t="s">
        <v>32</v>
      </c>
      <c r="H96" s="27" t="s">
        <v>44</v>
      </c>
      <c r="I96" s="23" t="s">
        <v>242</v>
      </c>
      <c r="J96" s="28"/>
      <c r="K96" s="28"/>
      <c r="L96" s="28"/>
      <c r="M96" s="19"/>
    </row>
    <row r="97">
      <c r="A97" s="20"/>
      <c r="B97" s="22">
        <v>45181.0</v>
      </c>
      <c r="C97" s="23" t="s">
        <v>243</v>
      </c>
      <c r="D97" s="26" t="s">
        <v>21</v>
      </c>
      <c r="E97" s="27" t="s">
        <v>30</v>
      </c>
      <c r="F97" s="27" t="s">
        <v>117</v>
      </c>
      <c r="G97" s="27" t="s">
        <v>32</v>
      </c>
      <c r="H97" s="27" t="s">
        <v>44</v>
      </c>
      <c r="I97" s="23" t="s">
        <v>244</v>
      </c>
      <c r="J97" s="17">
        <v>88.0</v>
      </c>
      <c r="K97" s="28"/>
      <c r="L97" s="28"/>
      <c r="M97" s="19"/>
    </row>
    <row r="98">
      <c r="A98" s="42" t="s">
        <v>76</v>
      </c>
      <c r="B98" s="33">
        <v>44664.0</v>
      </c>
      <c r="C98" s="23" t="s">
        <v>245</v>
      </c>
      <c r="D98" s="26" t="s">
        <v>21</v>
      </c>
      <c r="E98" s="27" t="s">
        <v>30</v>
      </c>
      <c r="F98" s="27" t="s">
        <v>117</v>
      </c>
      <c r="G98" s="27" t="s">
        <v>32</v>
      </c>
      <c r="H98" s="27" t="s">
        <v>52</v>
      </c>
      <c r="I98" s="23" t="s">
        <v>246</v>
      </c>
      <c r="J98" s="28"/>
      <c r="K98" s="28"/>
      <c r="L98" s="28"/>
      <c r="M98" s="19"/>
    </row>
    <row r="99">
      <c r="A99" s="20"/>
      <c r="B99" s="22">
        <v>45164.0</v>
      </c>
      <c r="C99" s="23" t="s">
        <v>247</v>
      </c>
      <c r="D99" s="26" t="s">
        <v>21</v>
      </c>
      <c r="E99" s="27" t="s">
        <v>30</v>
      </c>
      <c r="F99" s="27" t="s">
        <v>117</v>
      </c>
      <c r="G99" s="27" t="s">
        <v>32</v>
      </c>
      <c r="H99" s="27" t="s">
        <v>44</v>
      </c>
      <c r="I99" s="23" t="s">
        <v>248</v>
      </c>
      <c r="J99" s="17">
        <v>8.0</v>
      </c>
      <c r="K99" s="17">
        <v>21.0</v>
      </c>
      <c r="L99" s="17" t="s">
        <v>88</v>
      </c>
      <c r="M99" s="19"/>
    </row>
    <row r="100">
      <c r="A100" s="20"/>
      <c r="B100" s="33">
        <v>44654.0</v>
      </c>
      <c r="C100" s="23" t="s">
        <v>249</v>
      </c>
      <c r="D100" s="26" t="s">
        <v>21</v>
      </c>
      <c r="E100" s="27" t="s">
        <v>30</v>
      </c>
      <c r="F100" s="27" t="s">
        <v>117</v>
      </c>
      <c r="G100" s="27" t="s">
        <v>32</v>
      </c>
      <c r="H100" s="27" t="s">
        <v>52</v>
      </c>
      <c r="I100" s="48"/>
      <c r="J100" s="28"/>
      <c r="K100" s="28"/>
      <c r="L100" s="28"/>
      <c r="M100" s="19"/>
    </row>
    <row r="101">
      <c r="A101" s="20"/>
      <c r="B101" s="22">
        <v>45238.0</v>
      </c>
      <c r="C101" s="23" t="s">
        <v>250</v>
      </c>
      <c r="D101" s="26" t="s">
        <v>21</v>
      </c>
      <c r="E101" s="27" t="s">
        <v>30</v>
      </c>
      <c r="F101" s="27" t="s">
        <v>117</v>
      </c>
      <c r="G101" s="27" t="s">
        <v>32</v>
      </c>
      <c r="H101" s="27" t="s">
        <v>44</v>
      </c>
      <c r="I101" s="48"/>
      <c r="J101" s="28"/>
      <c r="K101" s="28"/>
      <c r="L101" s="28"/>
      <c r="M101" s="19"/>
    </row>
    <row r="102">
      <c r="A102" s="42"/>
      <c r="B102" s="22">
        <v>44651.0</v>
      </c>
      <c r="C102" s="23" t="s">
        <v>251</v>
      </c>
      <c r="D102" s="26" t="s">
        <v>21</v>
      </c>
      <c r="E102" s="27" t="s">
        <v>30</v>
      </c>
      <c r="F102" s="27" t="s">
        <v>117</v>
      </c>
      <c r="G102" s="27" t="s">
        <v>32</v>
      </c>
      <c r="H102" s="27" t="s">
        <v>252</v>
      </c>
      <c r="I102" s="23" t="s">
        <v>253</v>
      </c>
      <c r="J102" s="17">
        <v>0.0</v>
      </c>
      <c r="K102" s="17">
        <v>0.0</v>
      </c>
      <c r="L102" s="17" t="s">
        <v>137</v>
      </c>
      <c r="M102" s="19"/>
    </row>
    <row r="103">
      <c r="A103" s="20"/>
      <c r="B103" s="33">
        <v>44643.0</v>
      </c>
      <c r="C103" s="23" t="s">
        <v>254</v>
      </c>
      <c r="D103" s="26" t="s">
        <v>21</v>
      </c>
      <c r="E103" s="27" t="s">
        <v>30</v>
      </c>
      <c r="F103" s="27" t="s">
        <v>117</v>
      </c>
      <c r="G103" s="27" t="s">
        <v>32</v>
      </c>
      <c r="H103" s="27" t="s">
        <v>44</v>
      </c>
      <c r="I103" s="23" t="s">
        <v>255</v>
      </c>
      <c r="J103" s="28"/>
      <c r="K103" s="28"/>
      <c r="L103" s="28"/>
      <c r="M103" s="19"/>
    </row>
    <row r="104">
      <c r="A104" s="20"/>
      <c r="B104" s="22">
        <v>44851.0</v>
      </c>
      <c r="C104" s="23" t="s">
        <v>256</v>
      </c>
      <c r="D104" s="26" t="s">
        <v>21</v>
      </c>
      <c r="E104" s="27" t="s">
        <v>30</v>
      </c>
      <c r="F104" s="27" t="s">
        <v>117</v>
      </c>
      <c r="G104" s="27" t="s">
        <v>32</v>
      </c>
      <c r="H104" s="27" t="s">
        <v>44</v>
      </c>
      <c r="I104" s="48"/>
      <c r="J104" s="28"/>
      <c r="K104" s="28"/>
      <c r="L104" s="28"/>
      <c r="M104" s="19"/>
    </row>
    <row r="105">
      <c r="A105" s="20"/>
      <c r="B105" s="22">
        <v>44639.0</v>
      </c>
      <c r="C105" s="23" t="s">
        <v>257</v>
      </c>
      <c r="D105" s="26" t="s">
        <v>21</v>
      </c>
      <c r="E105" s="27" t="s">
        <v>30</v>
      </c>
      <c r="F105" s="27" t="s">
        <v>117</v>
      </c>
      <c r="G105" s="27" t="s">
        <v>32</v>
      </c>
      <c r="H105" s="27" t="s">
        <v>52</v>
      </c>
      <c r="I105" s="48"/>
      <c r="J105" s="28"/>
      <c r="K105" s="28"/>
      <c r="L105" s="28"/>
      <c r="M105" s="19"/>
    </row>
    <row r="106">
      <c r="A106" s="65" t="s">
        <v>258</v>
      </c>
      <c r="B106" s="22">
        <v>44832.0</v>
      </c>
      <c r="C106" s="23" t="s">
        <v>259</v>
      </c>
      <c r="D106" s="26" t="s">
        <v>21</v>
      </c>
      <c r="E106" s="27" t="s">
        <v>30</v>
      </c>
      <c r="F106" s="27" t="s">
        <v>117</v>
      </c>
      <c r="G106" s="27" t="s">
        <v>32</v>
      </c>
      <c r="H106" s="27" t="s">
        <v>52</v>
      </c>
      <c r="I106" s="48"/>
      <c r="J106" s="28"/>
      <c r="K106" s="28"/>
      <c r="L106" s="28"/>
      <c r="M106" s="19"/>
    </row>
    <row r="107">
      <c r="A107" s="63" t="s">
        <v>181</v>
      </c>
      <c r="B107" s="22">
        <v>45220.0</v>
      </c>
      <c r="C107" s="23" t="s">
        <v>260</v>
      </c>
      <c r="D107" s="26" t="s">
        <v>21</v>
      </c>
      <c r="E107" s="27" t="s">
        <v>30</v>
      </c>
      <c r="F107" s="27" t="s">
        <v>117</v>
      </c>
      <c r="G107" s="27" t="s">
        <v>32</v>
      </c>
      <c r="H107" s="27" t="s">
        <v>44</v>
      </c>
      <c r="I107" s="48"/>
      <c r="J107" s="28"/>
      <c r="K107" s="28"/>
      <c r="L107" s="28"/>
      <c r="M107" s="19"/>
    </row>
    <row r="108">
      <c r="A108" s="20"/>
      <c r="B108" s="22">
        <v>44627.0</v>
      </c>
      <c r="C108" s="23" t="s">
        <v>261</v>
      </c>
      <c r="D108" s="26" t="s">
        <v>21</v>
      </c>
      <c r="E108" s="27" t="s">
        <v>30</v>
      </c>
      <c r="F108" s="27" t="s">
        <v>117</v>
      </c>
      <c r="G108" s="27" t="s">
        <v>32</v>
      </c>
      <c r="H108" s="27" t="s">
        <v>52</v>
      </c>
      <c r="I108" s="48"/>
      <c r="J108" s="28"/>
      <c r="K108" s="28"/>
      <c r="L108" s="28"/>
      <c r="M108" s="19"/>
    </row>
    <row r="109">
      <c r="A109" s="20"/>
      <c r="B109" s="22">
        <v>44626.0</v>
      </c>
      <c r="C109" s="23" t="s">
        <v>262</v>
      </c>
      <c r="D109" s="26" t="s">
        <v>21</v>
      </c>
      <c r="E109" s="27" t="s">
        <v>30</v>
      </c>
      <c r="F109" s="27" t="s">
        <v>117</v>
      </c>
      <c r="G109" s="27" t="s">
        <v>32</v>
      </c>
      <c r="H109" s="27" t="s">
        <v>52</v>
      </c>
      <c r="I109" s="23"/>
      <c r="J109" s="28"/>
      <c r="K109" s="28"/>
      <c r="L109" s="28"/>
      <c r="M109" s="19"/>
    </row>
    <row r="110">
      <c r="A110" s="20"/>
      <c r="B110" s="22">
        <v>44849.0</v>
      </c>
      <c r="C110" s="23" t="s">
        <v>263</v>
      </c>
      <c r="D110" s="26" t="s">
        <v>21</v>
      </c>
      <c r="E110" s="27" t="s">
        <v>30</v>
      </c>
      <c r="F110" s="27" t="s">
        <v>117</v>
      </c>
      <c r="G110" s="27" t="s">
        <v>32</v>
      </c>
      <c r="H110" s="27" t="s">
        <v>35</v>
      </c>
      <c r="I110" s="48"/>
      <c r="J110" s="28"/>
      <c r="K110" s="28"/>
      <c r="L110" s="28"/>
      <c r="M110" s="19"/>
    </row>
    <row r="111">
      <c r="A111" s="63" t="s">
        <v>181</v>
      </c>
      <c r="B111" s="22">
        <v>44780.0</v>
      </c>
      <c r="C111" s="23" t="s">
        <v>264</v>
      </c>
      <c r="D111" s="26" t="s">
        <v>21</v>
      </c>
      <c r="E111" s="27" t="s">
        <v>30</v>
      </c>
      <c r="F111" s="27" t="s">
        <v>117</v>
      </c>
      <c r="G111" s="27" t="s">
        <v>32</v>
      </c>
      <c r="H111" s="27" t="s">
        <v>52</v>
      </c>
      <c r="I111" s="48"/>
      <c r="J111" s="28"/>
      <c r="K111" s="28"/>
      <c r="L111" s="28"/>
      <c r="M111" s="19"/>
    </row>
    <row r="112">
      <c r="A112" s="20"/>
      <c r="B112" s="22">
        <v>44606.0</v>
      </c>
      <c r="C112" s="23" t="s">
        <v>265</v>
      </c>
      <c r="D112" s="26" t="s">
        <v>21</v>
      </c>
      <c r="E112" s="27" t="s">
        <v>30</v>
      </c>
      <c r="F112" s="27" t="s">
        <v>117</v>
      </c>
      <c r="G112" s="27" t="s">
        <v>32</v>
      </c>
      <c r="H112" s="27" t="s">
        <v>52</v>
      </c>
      <c r="I112" s="48"/>
      <c r="J112" s="28"/>
      <c r="K112" s="28"/>
      <c r="L112" s="28"/>
      <c r="M112" s="19"/>
    </row>
    <row r="113">
      <c r="A113" s="20"/>
      <c r="B113" s="30">
        <v>44815.0</v>
      </c>
      <c r="C113" s="23" t="s">
        <v>266</v>
      </c>
      <c r="D113" s="26" t="s">
        <v>21</v>
      </c>
      <c r="E113" s="27" t="s">
        <v>30</v>
      </c>
      <c r="F113" s="27" t="s">
        <v>117</v>
      </c>
      <c r="G113" s="27" t="s">
        <v>32</v>
      </c>
      <c r="H113" s="27" t="s">
        <v>44</v>
      </c>
      <c r="I113" s="48"/>
      <c r="J113" s="28"/>
      <c r="K113" s="28"/>
      <c r="L113" s="28"/>
      <c r="M113" s="19"/>
    </row>
    <row r="114">
      <c r="A114" s="20"/>
      <c r="B114" s="22">
        <v>45151.0</v>
      </c>
      <c r="C114" s="23" t="s">
        <v>267</v>
      </c>
      <c r="D114" s="26" t="s">
        <v>21</v>
      </c>
      <c r="E114" s="27" t="s">
        <v>30</v>
      </c>
      <c r="F114" s="27" t="s">
        <v>117</v>
      </c>
      <c r="G114" s="27" t="s">
        <v>32</v>
      </c>
      <c r="H114" s="27" t="s">
        <v>252</v>
      </c>
      <c r="I114" s="48"/>
      <c r="J114" s="28"/>
      <c r="K114" s="28"/>
      <c r="L114" s="28"/>
      <c r="M114" s="19"/>
    </row>
    <row r="115">
      <c r="A115" s="20"/>
      <c r="B115" s="22">
        <v>44604.0</v>
      </c>
      <c r="C115" s="23" t="s">
        <v>268</v>
      </c>
      <c r="D115" s="26" t="s">
        <v>21</v>
      </c>
      <c r="E115" s="27" t="s">
        <v>30</v>
      </c>
      <c r="F115" s="27" t="s">
        <v>117</v>
      </c>
      <c r="G115" s="27" t="s">
        <v>32</v>
      </c>
      <c r="H115" s="27" t="s">
        <v>52</v>
      </c>
      <c r="I115" s="48"/>
      <c r="J115" s="28"/>
      <c r="K115" s="28"/>
      <c r="L115" s="28"/>
      <c r="M115" s="19"/>
    </row>
    <row r="116">
      <c r="A116" s="20"/>
      <c r="B116" s="22">
        <v>44601.0</v>
      </c>
      <c r="C116" s="23" t="s">
        <v>269</v>
      </c>
      <c r="D116" s="26" t="s">
        <v>21</v>
      </c>
      <c r="E116" s="27" t="s">
        <v>30</v>
      </c>
      <c r="F116" s="27" t="s">
        <v>117</v>
      </c>
      <c r="G116" s="27" t="s">
        <v>32</v>
      </c>
      <c r="H116" s="27" t="s">
        <v>44</v>
      </c>
      <c r="I116" s="48"/>
      <c r="J116" s="28"/>
      <c r="K116" s="28"/>
      <c r="L116" s="28"/>
      <c r="M116" s="19"/>
    </row>
    <row r="117">
      <c r="A117" s="42" t="s">
        <v>76</v>
      </c>
      <c r="B117" s="22">
        <v>44827.0</v>
      </c>
      <c r="C117" s="23" t="s">
        <v>270</v>
      </c>
      <c r="D117" s="26" t="s">
        <v>21</v>
      </c>
      <c r="E117" s="27" t="s">
        <v>30</v>
      </c>
      <c r="F117" s="27" t="s">
        <v>117</v>
      </c>
      <c r="G117" s="27" t="s">
        <v>32</v>
      </c>
      <c r="H117" s="27" t="s">
        <v>52</v>
      </c>
      <c r="I117" s="23" t="s">
        <v>271</v>
      </c>
      <c r="J117" s="17">
        <v>34.0</v>
      </c>
      <c r="K117" s="17">
        <v>172.0</v>
      </c>
      <c r="L117" s="17" t="s">
        <v>272</v>
      </c>
      <c r="M117" s="19"/>
    </row>
    <row r="118">
      <c r="A118" s="20"/>
      <c r="B118" s="33">
        <v>44597.0</v>
      </c>
      <c r="C118" s="23" t="s">
        <v>273</v>
      </c>
      <c r="D118" s="26" t="s">
        <v>21</v>
      </c>
      <c r="E118" s="27" t="s">
        <v>30</v>
      </c>
      <c r="F118" s="27" t="s">
        <v>117</v>
      </c>
      <c r="G118" s="27" t="s">
        <v>32</v>
      </c>
      <c r="H118" s="27" t="s">
        <v>44</v>
      </c>
      <c r="I118" s="48"/>
      <c r="J118" s="28"/>
      <c r="K118" s="28"/>
      <c r="L118" s="28"/>
      <c r="M118" s="19"/>
    </row>
    <row r="119">
      <c r="A119" s="20"/>
      <c r="B119" s="22">
        <v>45076.0</v>
      </c>
      <c r="C119" s="23" t="s">
        <v>274</v>
      </c>
      <c r="D119" s="26" t="s">
        <v>21</v>
      </c>
      <c r="E119" s="27" t="s">
        <v>30</v>
      </c>
      <c r="F119" s="27" t="s">
        <v>117</v>
      </c>
      <c r="G119" s="27" t="s">
        <v>32</v>
      </c>
      <c r="H119" s="27" t="s">
        <v>44</v>
      </c>
      <c r="I119" s="48"/>
      <c r="J119" s="28"/>
      <c r="K119" s="28"/>
      <c r="L119" s="28"/>
      <c r="M119" s="19"/>
    </row>
    <row r="120">
      <c r="A120" s="20"/>
      <c r="B120" s="22">
        <v>44762.0</v>
      </c>
      <c r="C120" s="23" t="s">
        <v>275</v>
      </c>
      <c r="D120" s="26" t="s">
        <v>21</v>
      </c>
      <c r="E120" s="27" t="s">
        <v>30</v>
      </c>
      <c r="F120" s="27" t="s">
        <v>117</v>
      </c>
      <c r="G120" s="27" t="s">
        <v>32</v>
      </c>
      <c r="H120" s="27" t="s">
        <v>44</v>
      </c>
      <c r="I120" s="23" t="s">
        <v>276</v>
      </c>
      <c r="J120" s="17">
        <v>16.0</v>
      </c>
      <c r="K120" s="17">
        <v>50.0</v>
      </c>
      <c r="L120" s="28"/>
      <c r="M120" s="19"/>
    </row>
    <row r="121">
      <c r="A121" s="42" t="s">
        <v>76</v>
      </c>
      <c r="B121" s="22">
        <v>44869.0</v>
      </c>
      <c r="C121" s="23" t="s">
        <v>277</v>
      </c>
      <c r="D121" s="26" t="s">
        <v>21</v>
      </c>
      <c r="E121" s="27" t="s">
        <v>30</v>
      </c>
      <c r="F121" s="27" t="s">
        <v>117</v>
      </c>
      <c r="G121" s="27" t="s">
        <v>32</v>
      </c>
      <c r="H121" s="27" t="s">
        <v>44</v>
      </c>
      <c r="I121" s="48"/>
      <c r="J121" s="28"/>
      <c r="K121" s="28"/>
      <c r="L121" s="28"/>
      <c r="M121" s="19"/>
    </row>
    <row r="122">
      <c r="A122" s="20"/>
      <c r="B122" s="30">
        <v>44868.0</v>
      </c>
      <c r="C122" s="23" t="s">
        <v>278</v>
      </c>
      <c r="D122" s="26" t="s">
        <v>21</v>
      </c>
      <c r="E122" s="27" t="s">
        <v>30</v>
      </c>
      <c r="F122" s="27" t="s">
        <v>117</v>
      </c>
      <c r="G122" s="27" t="s">
        <v>32</v>
      </c>
      <c r="H122" s="27" t="s">
        <v>252</v>
      </c>
      <c r="I122" s="48"/>
      <c r="J122" s="28"/>
      <c r="K122" s="28"/>
      <c r="L122" s="28"/>
      <c r="M122" s="19"/>
    </row>
    <row r="123">
      <c r="A123" s="20"/>
      <c r="B123" s="22">
        <v>44590.0</v>
      </c>
      <c r="C123" s="23" t="s">
        <v>279</v>
      </c>
      <c r="D123" s="26" t="s">
        <v>21</v>
      </c>
      <c r="E123" s="27" t="s">
        <v>30</v>
      </c>
      <c r="F123" s="27" t="s">
        <v>117</v>
      </c>
      <c r="G123" s="27" t="s">
        <v>32</v>
      </c>
      <c r="H123" s="27" t="s">
        <v>52</v>
      </c>
      <c r="I123" s="48"/>
      <c r="J123" s="28"/>
      <c r="K123" s="28"/>
      <c r="L123" s="28"/>
      <c r="M123" s="19"/>
    </row>
    <row r="124">
      <c r="A124" s="42" t="s">
        <v>280</v>
      </c>
      <c r="B124" s="22">
        <v>44589.0</v>
      </c>
      <c r="C124" s="23" t="s">
        <v>281</v>
      </c>
      <c r="D124" s="26" t="s">
        <v>21</v>
      </c>
      <c r="E124" s="27" t="s">
        <v>30</v>
      </c>
      <c r="F124" s="27" t="s">
        <v>117</v>
      </c>
      <c r="G124" s="27" t="s">
        <v>32</v>
      </c>
      <c r="H124" s="27" t="s">
        <v>52</v>
      </c>
      <c r="I124" s="48"/>
      <c r="J124" s="28"/>
      <c r="K124" s="28"/>
      <c r="L124" s="28"/>
      <c r="M124" s="19"/>
    </row>
    <row r="125">
      <c r="A125" s="20"/>
      <c r="B125" s="30">
        <v>44998.0</v>
      </c>
      <c r="C125" s="23" t="s">
        <v>282</v>
      </c>
      <c r="D125" s="61" t="s">
        <v>21</v>
      </c>
      <c r="E125" s="27" t="s">
        <v>30</v>
      </c>
      <c r="F125" s="27" t="s">
        <v>117</v>
      </c>
      <c r="G125" s="27" t="s">
        <v>32</v>
      </c>
      <c r="H125" s="27" t="s">
        <v>44</v>
      </c>
      <c r="I125" s="48"/>
      <c r="J125" s="28"/>
      <c r="K125" s="28"/>
      <c r="L125" s="28"/>
      <c r="M125" s="19"/>
    </row>
    <row r="126">
      <c r="A126" s="20"/>
      <c r="B126" s="22">
        <v>44581.0</v>
      </c>
      <c r="C126" s="23" t="s">
        <v>283</v>
      </c>
      <c r="D126" s="26" t="s">
        <v>21</v>
      </c>
      <c r="E126" s="27" t="s">
        <v>30</v>
      </c>
      <c r="F126" s="27" t="s">
        <v>117</v>
      </c>
      <c r="G126" s="27" t="s">
        <v>32</v>
      </c>
      <c r="H126" s="27" t="s">
        <v>52</v>
      </c>
      <c r="I126" s="48"/>
      <c r="J126" s="28"/>
      <c r="K126" s="28"/>
      <c r="L126" s="28"/>
      <c r="M126" s="19"/>
    </row>
    <row r="127">
      <c r="A127" s="63" t="s">
        <v>181</v>
      </c>
      <c r="B127" s="30">
        <v>44877.0</v>
      </c>
      <c r="C127" s="23" t="s">
        <v>284</v>
      </c>
      <c r="D127" s="26" t="s">
        <v>21</v>
      </c>
      <c r="E127" s="27" t="s">
        <v>30</v>
      </c>
      <c r="F127" s="27" t="s">
        <v>117</v>
      </c>
      <c r="G127" s="27" t="s">
        <v>32</v>
      </c>
      <c r="H127" s="27" t="s">
        <v>52</v>
      </c>
      <c r="I127" s="48"/>
      <c r="J127" s="28"/>
      <c r="K127" s="28"/>
      <c r="L127" s="28"/>
      <c r="M127" s="19"/>
    </row>
    <row r="128">
      <c r="A128" s="63" t="s">
        <v>181</v>
      </c>
      <c r="B128" s="30">
        <v>44784.0</v>
      </c>
      <c r="C128" s="23" t="s">
        <v>285</v>
      </c>
      <c r="D128" s="26" t="s">
        <v>21</v>
      </c>
      <c r="E128" s="27" t="s">
        <v>30</v>
      </c>
      <c r="F128" s="27" t="s">
        <v>117</v>
      </c>
      <c r="G128" s="27" t="s">
        <v>32</v>
      </c>
      <c r="H128" s="27" t="s">
        <v>52</v>
      </c>
      <c r="I128" s="48"/>
      <c r="J128" s="28"/>
      <c r="K128" s="28"/>
      <c r="L128" s="28"/>
      <c r="M128" s="19"/>
    </row>
    <row r="129">
      <c r="A129" s="20"/>
      <c r="B129" s="22">
        <v>44571.0</v>
      </c>
      <c r="C129" s="23" t="s">
        <v>286</v>
      </c>
      <c r="D129" s="26" t="s">
        <v>21</v>
      </c>
      <c r="E129" s="27" t="s">
        <v>30</v>
      </c>
      <c r="F129" s="27" t="s">
        <v>117</v>
      </c>
      <c r="G129" s="27" t="s">
        <v>32</v>
      </c>
      <c r="H129" s="27" t="s">
        <v>44</v>
      </c>
      <c r="I129" s="48"/>
      <c r="J129" s="28"/>
      <c r="K129" s="28"/>
      <c r="L129" s="28"/>
      <c r="M129" s="19"/>
    </row>
    <row r="130">
      <c r="A130" s="20"/>
      <c r="B130" s="22">
        <v>44554.0</v>
      </c>
      <c r="C130" s="23" t="s">
        <v>287</v>
      </c>
      <c r="D130" s="26" t="s">
        <v>21</v>
      </c>
      <c r="E130" s="27" t="s">
        <v>30</v>
      </c>
      <c r="F130" s="27" t="s">
        <v>117</v>
      </c>
      <c r="G130" s="27" t="s">
        <v>32</v>
      </c>
      <c r="H130" s="27" t="s">
        <v>44</v>
      </c>
      <c r="I130" s="23" t="s">
        <v>288</v>
      </c>
      <c r="J130" s="17">
        <v>3.0</v>
      </c>
      <c r="K130" s="17">
        <v>9.0</v>
      </c>
      <c r="L130" s="28"/>
      <c r="M130" s="19"/>
    </row>
    <row r="131">
      <c r="A131" s="20"/>
      <c r="B131" s="30">
        <v>45001.0</v>
      </c>
      <c r="C131" s="23" t="s">
        <v>289</v>
      </c>
      <c r="D131" s="26" t="s">
        <v>21</v>
      </c>
      <c r="E131" s="27" t="s">
        <v>30</v>
      </c>
      <c r="F131" s="27" t="s">
        <v>117</v>
      </c>
      <c r="G131" s="27" t="s">
        <v>32</v>
      </c>
      <c r="H131" s="27" t="s">
        <v>44</v>
      </c>
      <c r="I131" s="48"/>
      <c r="J131" s="28"/>
      <c r="K131" s="28"/>
      <c r="L131" s="28"/>
      <c r="M131" s="19"/>
    </row>
    <row r="132">
      <c r="A132" s="63" t="s">
        <v>193</v>
      </c>
      <c r="B132" s="30">
        <v>44786.0</v>
      </c>
      <c r="C132" s="23" t="s">
        <v>290</v>
      </c>
      <c r="D132" s="26" t="s">
        <v>21</v>
      </c>
      <c r="E132" s="27" t="s">
        <v>30</v>
      </c>
      <c r="F132" s="27" t="s">
        <v>117</v>
      </c>
      <c r="G132" s="27" t="s">
        <v>32</v>
      </c>
      <c r="H132" s="27" t="s">
        <v>44</v>
      </c>
      <c r="I132" s="48"/>
      <c r="J132" s="28"/>
      <c r="K132" s="28"/>
      <c r="L132" s="28"/>
      <c r="M132" s="19"/>
    </row>
    <row r="133">
      <c r="A133" s="20"/>
      <c r="B133" s="22">
        <v>44812.0</v>
      </c>
      <c r="C133" s="23" t="s">
        <v>291</v>
      </c>
      <c r="D133" s="26" t="s">
        <v>21</v>
      </c>
      <c r="E133" s="27" t="s">
        <v>30</v>
      </c>
      <c r="F133" s="27" t="s">
        <v>117</v>
      </c>
      <c r="G133" s="27" t="s">
        <v>32</v>
      </c>
      <c r="H133" s="27" t="s">
        <v>252</v>
      </c>
      <c r="I133" s="48"/>
      <c r="J133" s="28"/>
      <c r="K133" s="28"/>
      <c r="L133" s="28"/>
      <c r="M133" s="19"/>
    </row>
    <row r="134">
      <c r="A134" s="20"/>
      <c r="B134" s="33">
        <v>44536.0</v>
      </c>
      <c r="C134" s="23" t="s">
        <v>292</v>
      </c>
      <c r="D134" s="26" t="s">
        <v>21</v>
      </c>
      <c r="E134" s="27" t="s">
        <v>30</v>
      </c>
      <c r="F134" s="27" t="s">
        <v>117</v>
      </c>
      <c r="G134" s="27" t="s">
        <v>32</v>
      </c>
      <c r="H134" s="27" t="s">
        <v>52</v>
      </c>
      <c r="I134" s="48"/>
      <c r="J134" s="28"/>
      <c r="K134" s="28"/>
      <c r="L134" s="28"/>
      <c r="M134" s="19"/>
    </row>
    <row r="135">
      <c r="A135" s="20"/>
      <c r="B135" s="30">
        <v>44842.0</v>
      </c>
      <c r="C135" s="23" t="s">
        <v>293</v>
      </c>
      <c r="D135" s="26" t="s">
        <v>21</v>
      </c>
      <c r="E135" s="27" t="s">
        <v>30</v>
      </c>
      <c r="F135" s="27" t="s">
        <v>31</v>
      </c>
      <c r="G135" s="27" t="s">
        <v>32</v>
      </c>
      <c r="H135" s="27" t="s">
        <v>44</v>
      </c>
      <c r="I135" s="48"/>
      <c r="J135" s="28"/>
      <c r="K135" s="28"/>
      <c r="L135" s="28"/>
      <c r="M135" s="19"/>
    </row>
    <row r="136">
      <c r="A136" s="20"/>
      <c r="B136" s="33">
        <v>44532.0</v>
      </c>
      <c r="C136" s="23" t="s">
        <v>294</v>
      </c>
      <c r="D136" s="26" t="s">
        <v>21</v>
      </c>
      <c r="E136" s="27" t="s">
        <v>30</v>
      </c>
      <c r="F136" s="27" t="s">
        <v>117</v>
      </c>
      <c r="G136" s="27" t="s">
        <v>32</v>
      </c>
      <c r="H136" s="27" t="s">
        <v>52</v>
      </c>
      <c r="I136" s="48"/>
      <c r="J136" s="28"/>
      <c r="K136" s="28"/>
      <c r="L136" s="28"/>
      <c r="M136" s="19"/>
    </row>
    <row r="137">
      <c r="A137" s="20"/>
      <c r="B137" s="33">
        <v>44515.0</v>
      </c>
      <c r="C137" s="23" t="s">
        <v>295</v>
      </c>
      <c r="D137" s="26" t="s">
        <v>21</v>
      </c>
      <c r="E137" s="27" t="s">
        <v>30</v>
      </c>
      <c r="F137" s="27" t="s">
        <v>117</v>
      </c>
      <c r="G137" s="27" t="s">
        <v>32</v>
      </c>
      <c r="H137" s="27" t="s">
        <v>52</v>
      </c>
      <c r="I137" s="48"/>
      <c r="J137" s="28"/>
      <c r="K137" s="28"/>
      <c r="L137" s="28"/>
      <c r="M137" s="19"/>
    </row>
    <row r="138">
      <c r="A138" s="20"/>
      <c r="B138" s="22">
        <v>44505.0</v>
      </c>
      <c r="C138" s="23" t="s">
        <v>296</v>
      </c>
      <c r="D138" s="26" t="s">
        <v>21</v>
      </c>
      <c r="E138" s="27" t="s">
        <v>30</v>
      </c>
      <c r="F138" s="27" t="s">
        <v>117</v>
      </c>
      <c r="G138" s="27" t="s">
        <v>32</v>
      </c>
      <c r="H138" s="27" t="s">
        <v>52</v>
      </c>
      <c r="I138" s="48"/>
      <c r="J138" s="28"/>
      <c r="K138" s="28"/>
      <c r="L138" s="28"/>
      <c r="M138" s="19"/>
    </row>
    <row r="139">
      <c r="A139" s="20"/>
      <c r="B139" s="22">
        <v>45184.0</v>
      </c>
      <c r="C139" s="23" t="s">
        <v>297</v>
      </c>
      <c r="D139" s="61" t="s">
        <v>21</v>
      </c>
      <c r="E139" s="27" t="s">
        <v>30</v>
      </c>
      <c r="F139" s="27" t="s">
        <v>117</v>
      </c>
      <c r="G139" s="27" t="s">
        <v>32</v>
      </c>
      <c r="H139" s="27" t="s">
        <v>44</v>
      </c>
      <c r="I139" s="23" t="s">
        <v>298</v>
      </c>
      <c r="J139" s="17">
        <v>88.0</v>
      </c>
      <c r="K139" s="28"/>
      <c r="L139" s="28"/>
      <c r="M139" s="19"/>
    </row>
    <row r="140">
      <c r="A140" s="20"/>
      <c r="B140" s="22">
        <v>44507.0</v>
      </c>
      <c r="C140" s="23" t="s">
        <v>299</v>
      </c>
      <c r="D140" s="61" t="s">
        <v>21</v>
      </c>
      <c r="E140" s="27" t="s">
        <v>30</v>
      </c>
      <c r="F140" s="27" t="s">
        <v>117</v>
      </c>
      <c r="G140" s="27" t="s">
        <v>32</v>
      </c>
      <c r="H140" s="27" t="s">
        <v>52</v>
      </c>
      <c r="I140" s="23" t="s">
        <v>300</v>
      </c>
      <c r="J140" s="17">
        <v>0.0</v>
      </c>
      <c r="K140" s="17">
        <v>0.0</v>
      </c>
      <c r="L140" s="17" t="s">
        <v>301</v>
      </c>
      <c r="M140" s="19"/>
    </row>
    <row r="141">
      <c r="A141" s="63" t="s">
        <v>181</v>
      </c>
      <c r="B141" s="33">
        <v>44482.0</v>
      </c>
      <c r="C141" s="23" t="s">
        <v>302</v>
      </c>
      <c r="D141" s="26" t="s">
        <v>21</v>
      </c>
      <c r="E141" s="27" t="s">
        <v>30</v>
      </c>
      <c r="F141" s="27" t="s">
        <v>117</v>
      </c>
      <c r="G141" s="27" t="s">
        <v>32</v>
      </c>
      <c r="H141" s="27" t="s">
        <v>52</v>
      </c>
      <c r="I141" s="48"/>
      <c r="J141" s="28"/>
      <c r="K141" s="28"/>
      <c r="L141" s="28"/>
      <c r="M141" s="19"/>
    </row>
    <row r="142">
      <c r="A142" s="42" t="s">
        <v>76</v>
      </c>
      <c r="B142" s="33">
        <v>44452.0</v>
      </c>
      <c r="C142" s="23" t="s">
        <v>303</v>
      </c>
      <c r="D142" s="26" t="s">
        <v>21</v>
      </c>
      <c r="E142" s="27" t="s">
        <v>30</v>
      </c>
      <c r="F142" s="27" t="s">
        <v>117</v>
      </c>
      <c r="G142" s="27" t="s">
        <v>32</v>
      </c>
      <c r="H142" s="27" t="s">
        <v>52</v>
      </c>
      <c r="I142" s="48"/>
      <c r="J142" s="28"/>
      <c r="K142" s="28"/>
      <c r="L142" s="28"/>
      <c r="M142" s="19"/>
    </row>
    <row r="143">
      <c r="A143" s="63" t="s">
        <v>193</v>
      </c>
      <c r="B143" s="33">
        <v>44450.0</v>
      </c>
      <c r="C143" s="23" t="s">
        <v>304</v>
      </c>
      <c r="D143" s="26" t="s">
        <v>21</v>
      </c>
      <c r="E143" s="27" t="s">
        <v>30</v>
      </c>
      <c r="F143" s="27" t="s">
        <v>117</v>
      </c>
      <c r="G143" s="27" t="s">
        <v>32</v>
      </c>
      <c r="H143" s="27" t="s">
        <v>52</v>
      </c>
      <c r="I143" s="48"/>
      <c r="J143" s="28"/>
      <c r="K143" s="28"/>
      <c r="L143" s="28"/>
      <c r="M143" s="19"/>
    </row>
    <row r="144">
      <c r="A144" s="20"/>
      <c r="B144" s="33">
        <v>44426.0</v>
      </c>
      <c r="C144" s="23" t="s">
        <v>305</v>
      </c>
      <c r="D144" s="26" t="s">
        <v>21</v>
      </c>
      <c r="E144" s="27" t="s">
        <v>30</v>
      </c>
      <c r="F144" s="27" t="s">
        <v>117</v>
      </c>
      <c r="G144" s="27" t="s">
        <v>32</v>
      </c>
      <c r="H144" s="27" t="s">
        <v>52</v>
      </c>
      <c r="I144" s="48"/>
      <c r="J144" s="28"/>
      <c r="K144" s="28"/>
      <c r="L144" s="28"/>
      <c r="M144" s="19"/>
    </row>
    <row r="145">
      <c r="A145" s="63" t="s">
        <v>181</v>
      </c>
      <c r="B145" s="33">
        <v>44416.0</v>
      </c>
      <c r="C145" s="23" t="s">
        <v>306</v>
      </c>
      <c r="D145" s="26" t="s">
        <v>21</v>
      </c>
      <c r="E145" s="27" t="s">
        <v>30</v>
      </c>
      <c r="F145" s="27" t="s">
        <v>117</v>
      </c>
      <c r="G145" s="27" t="s">
        <v>32</v>
      </c>
      <c r="H145" s="27" t="s">
        <v>52</v>
      </c>
      <c r="I145" s="48"/>
      <c r="J145" s="28"/>
      <c r="K145" s="28"/>
      <c r="L145" s="28"/>
      <c r="M145" s="19"/>
    </row>
    <row r="146">
      <c r="A146" s="20"/>
      <c r="B146" s="22">
        <v>44416.0</v>
      </c>
      <c r="C146" s="23" t="s">
        <v>307</v>
      </c>
      <c r="D146" s="26" t="s">
        <v>21</v>
      </c>
      <c r="E146" s="27" t="s">
        <v>30</v>
      </c>
      <c r="F146" s="27" t="s">
        <v>117</v>
      </c>
      <c r="G146" s="27" t="s">
        <v>32</v>
      </c>
      <c r="H146" s="27" t="s">
        <v>52</v>
      </c>
      <c r="I146" s="48"/>
      <c r="J146" s="28"/>
      <c r="K146" s="28"/>
      <c r="L146" s="28"/>
      <c r="M146" s="19"/>
    </row>
    <row r="147">
      <c r="A147" s="20"/>
      <c r="B147" s="33">
        <v>44395.0</v>
      </c>
      <c r="C147" s="23" t="s">
        <v>308</v>
      </c>
      <c r="D147" s="26" t="s">
        <v>21</v>
      </c>
      <c r="E147" s="27" t="s">
        <v>30</v>
      </c>
      <c r="F147" s="27" t="s">
        <v>117</v>
      </c>
      <c r="G147" s="27" t="s">
        <v>32</v>
      </c>
      <c r="H147" s="27" t="s">
        <v>52</v>
      </c>
      <c r="I147" s="48"/>
      <c r="J147" s="28"/>
      <c r="K147" s="28"/>
      <c r="L147" s="28"/>
      <c r="M147" s="19"/>
    </row>
    <row r="148">
      <c r="A148" s="20"/>
      <c r="B148" s="33">
        <v>44354.0</v>
      </c>
      <c r="C148" s="23" t="s">
        <v>309</v>
      </c>
      <c r="D148" s="26" t="s">
        <v>21</v>
      </c>
      <c r="E148" s="27" t="s">
        <v>30</v>
      </c>
      <c r="F148" s="27" t="s">
        <v>117</v>
      </c>
      <c r="G148" s="27" t="s">
        <v>32</v>
      </c>
      <c r="H148" s="27" t="s">
        <v>52</v>
      </c>
      <c r="I148" s="48"/>
      <c r="J148" s="28"/>
      <c r="K148" s="28"/>
      <c r="L148" s="28"/>
      <c r="M148" s="19"/>
    </row>
    <row r="149">
      <c r="A149" s="20"/>
      <c r="B149" s="22">
        <v>44284.0</v>
      </c>
      <c r="C149" s="23" t="s">
        <v>310</v>
      </c>
      <c r="D149" s="26" t="s">
        <v>21</v>
      </c>
      <c r="E149" s="27" t="s">
        <v>30</v>
      </c>
      <c r="F149" s="27" t="s">
        <v>117</v>
      </c>
      <c r="G149" s="27" t="s">
        <v>32</v>
      </c>
      <c r="H149" s="27" t="s">
        <v>52</v>
      </c>
      <c r="I149" s="48"/>
      <c r="J149" s="28"/>
      <c r="K149" s="28"/>
      <c r="L149" s="28"/>
      <c r="M149" s="19"/>
    </row>
    <row r="150">
      <c r="A150" s="20"/>
      <c r="B150" s="33">
        <v>44276.0</v>
      </c>
      <c r="C150" s="23" t="s">
        <v>311</v>
      </c>
      <c r="D150" s="26" t="s">
        <v>21</v>
      </c>
      <c r="E150" s="27" t="s">
        <v>30</v>
      </c>
      <c r="F150" s="27" t="s">
        <v>117</v>
      </c>
      <c r="G150" s="27" t="s">
        <v>32</v>
      </c>
      <c r="H150" s="27" t="s">
        <v>52</v>
      </c>
      <c r="I150" s="48"/>
      <c r="J150" s="28"/>
      <c r="K150" s="28"/>
      <c r="L150" s="28"/>
      <c r="M150" s="19"/>
    </row>
    <row r="151">
      <c r="A151" s="20"/>
      <c r="B151" s="22">
        <v>44454.0</v>
      </c>
      <c r="C151" s="23" t="s">
        <v>312</v>
      </c>
      <c r="D151" s="26" t="s">
        <v>21</v>
      </c>
      <c r="E151" s="27" t="s">
        <v>30</v>
      </c>
      <c r="F151" s="27" t="s">
        <v>117</v>
      </c>
      <c r="G151" s="27" t="s">
        <v>32</v>
      </c>
      <c r="H151" s="27" t="s">
        <v>35</v>
      </c>
      <c r="I151" s="23" t="s">
        <v>313</v>
      </c>
      <c r="J151" s="17">
        <v>209.0</v>
      </c>
      <c r="K151" s="17">
        <v>689.0</v>
      </c>
      <c r="L151" s="17" t="s">
        <v>88</v>
      </c>
      <c r="M151" s="19"/>
    </row>
    <row r="152">
      <c r="A152" s="20"/>
      <c r="B152" s="22">
        <v>44436.0</v>
      </c>
      <c r="C152" s="23" t="s">
        <v>314</v>
      </c>
      <c r="D152" s="26" t="s">
        <v>21</v>
      </c>
      <c r="E152" s="27" t="s">
        <v>30</v>
      </c>
      <c r="F152" s="27" t="s">
        <v>117</v>
      </c>
      <c r="G152" s="27" t="s">
        <v>32</v>
      </c>
      <c r="H152" s="27" t="s">
        <v>35</v>
      </c>
      <c r="I152" s="23" t="s">
        <v>315</v>
      </c>
      <c r="J152" s="17">
        <v>8.0</v>
      </c>
      <c r="K152" s="17">
        <v>21.0</v>
      </c>
      <c r="L152" s="17" t="s">
        <v>88</v>
      </c>
      <c r="M152" s="19"/>
    </row>
    <row r="153">
      <c r="A153" s="20"/>
      <c r="B153" s="22">
        <v>44085.0</v>
      </c>
      <c r="C153" s="23" t="s">
        <v>316</v>
      </c>
      <c r="D153" s="26" t="s">
        <v>21</v>
      </c>
      <c r="E153" s="27" t="s">
        <v>30</v>
      </c>
      <c r="F153" s="27" t="s">
        <v>117</v>
      </c>
      <c r="G153" s="27" t="s">
        <v>32</v>
      </c>
      <c r="H153" s="27" t="s">
        <v>35</v>
      </c>
      <c r="I153" s="48"/>
      <c r="J153" s="28"/>
      <c r="K153" s="28"/>
      <c r="L153" s="28"/>
      <c r="M153" s="19"/>
    </row>
    <row r="154">
      <c r="A154" s="63" t="s">
        <v>193</v>
      </c>
      <c r="B154" s="22">
        <v>44251.0</v>
      </c>
      <c r="C154" s="23" t="s">
        <v>317</v>
      </c>
      <c r="D154" s="26" t="s">
        <v>21</v>
      </c>
      <c r="E154" s="27" t="s">
        <v>30</v>
      </c>
      <c r="F154" s="27" t="s">
        <v>117</v>
      </c>
      <c r="G154" s="27" t="s">
        <v>32</v>
      </c>
      <c r="H154" s="27" t="s">
        <v>35</v>
      </c>
      <c r="I154" s="48"/>
      <c r="J154" s="28"/>
      <c r="K154" s="28"/>
      <c r="L154" s="28"/>
      <c r="M154" s="19"/>
    </row>
    <row r="155">
      <c r="A155" s="20"/>
      <c r="B155" s="22">
        <v>44155.0</v>
      </c>
      <c r="C155" s="23" t="s">
        <v>318</v>
      </c>
      <c r="D155" s="26" t="s">
        <v>21</v>
      </c>
      <c r="E155" s="27" t="s">
        <v>30</v>
      </c>
      <c r="F155" s="27" t="s">
        <v>117</v>
      </c>
      <c r="G155" s="27" t="s">
        <v>32</v>
      </c>
      <c r="H155" s="27" t="s">
        <v>35</v>
      </c>
      <c r="I155" s="23" t="s">
        <v>136</v>
      </c>
      <c r="J155" s="17">
        <v>0.0</v>
      </c>
      <c r="K155" s="17">
        <v>0.0</v>
      </c>
      <c r="L155" s="17" t="s">
        <v>137</v>
      </c>
      <c r="M155" s="19"/>
    </row>
    <row r="156">
      <c r="A156" s="20"/>
      <c r="B156" s="22">
        <v>44014.0</v>
      </c>
      <c r="C156" s="23" t="s">
        <v>319</v>
      </c>
      <c r="D156" s="26" t="s">
        <v>21</v>
      </c>
      <c r="E156" s="27" t="s">
        <v>30</v>
      </c>
      <c r="F156" s="27" t="s">
        <v>117</v>
      </c>
      <c r="G156" s="27" t="s">
        <v>32</v>
      </c>
      <c r="H156" s="27" t="s">
        <v>35</v>
      </c>
      <c r="I156" s="48"/>
      <c r="J156" s="28"/>
      <c r="K156" s="28"/>
      <c r="L156" s="28"/>
      <c r="M156" s="19"/>
    </row>
    <row r="157">
      <c r="A157" s="20"/>
      <c r="B157" s="22">
        <v>43971.0</v>
      </c>
      <c r="C157" s="23" t="s">
        <v>320</v>
      </c>
      <c r="D157" s="26" t="s">
        <v>21</v>
      </c>
      <c r="E157" s="27" t="s">
        <v>30</v>
      </c>
      <c r="F157" s="27" t="s">
        <v>117</v>
      </c>
      <c r="G157" s="27" t="s">
        <v>32</v>
      </c>
      <c r="H157" s="27" t="s">
        <v>35</v>
      </c>
      <c r="I157" s="48"/>
      <c r="J157" s="28"/>
      <c r="K157" s="28"/>
      <c r="L157" s="28"/>
      <c r="M157" s="19"/>
    </row>
    <row r="158">
      <c r="A158" s="20"/>
      <c r="B158" s="22">
        <v>43953.0</v>
      </c>
      <c r="C158" s="23" t="s">
        <v>321</v>
      </c>
      <c r="D158" s="26" t="s">
        <v>21</v>
      </c>
      <c r="E158" s="27" t="s">
        <v>30</v>
      </c>
      <c r="F158" s="27" t="s">
        <v>117</v>
      </c>
      <c r="G158" s="27" t="s">
        <v>32</v>
      </c>
      <c r="H158" s="27" t="s">
        <v>35</v>
      </c>
      <c r="I158" s="48"/>
      <c r="J158" s="28"/>
      <c r="K158" s="28"/>
      <c r="L158" s="28"/>
      <c r="M158" s="19"/>
    </row>
    <row r="159">
      <c r="A159" s="63" t="s">
        <v>181</v>
      </c>
      <c r="B159" s="22">
        <v>44040.0</v>
      </c>
      <c r="C159" s="23" t="s">
        <v>322</v>
      </c>
      <c r="D159" s="26" t="s">
        <v>21</v>
      </c>
      <c r="E159" s="27" t="s">
        <v>30</v>
      </c>
      <c r="F159" s="27" t="s">
        <v>117</v>
      </c>
      <c r="G159" s="27" t="s">
        <v>32</v>
      </c>
      <c r="H159" s="27" t="s">
        <v>35</v>
      </c>
      <c r="I159" s="48"/>
      <c r="J159" s="28"/>
      <c r="K159" s="28"/>
      <c r="L159" s="28"/>
      <c r="M159" s="19"/>
    </row>
    <row r="160">
      <c r="A160" s="20"/>
      <c r="B160" s="22">
        <v>44411.0</v>
      </c>
      <c r="C160" s="23" t="s">
        <v>323</v>
      </c>
      <c r="D160" s="26" t="s">
        <v>21</v>
      </c>
      <c r="E160" s="27" t="s">
        <v>30</v>
      </c>
      <c r="F160" s="27" t="s">
        <v>117</v>
      </c>
      <c r="G160" s="27" t="s">
        <v>32</v>
      </c>
      <c r="H160" s="27" t="s">
        <v>35</v>
      </c>
      <c r="I160" s="48"/>
      <c r="J160" s="28"/>
      <c r="K160" s="28"/>
      <c r="L160" s="28"/>
      <c r="M160" s="19"/>
    </row>
    <row r="161">
      <c r="A161" s="20"/>
      <c r="B161" s="22">
        <v>44590.0</v>
      </c>
      <c r="C161" s="23" t="s">
        <v>324</v>
      </c>
      <c r="D161" s="26" t="s">
        <v>21</v>
      </c>
      <c r="E161" s="27" t="s">
        <v>30</v>
      </c>
      <c r="F161" s="27" t="s">
        <v>117</v>
      </c>
      <c r="G161" s="27" t="s">
        <v>32</v>
      </c>
      <c r="H161" s="27" t="s">
        <v>35</v>
      </c>
      <c r="I161" s="23" t="s">
        <v>325</v>
      </c>
      <c r="J161" s="17">
        <v>22.0</v>
      </c>
      <c r="K161" s="28"/>
      <c r="L161" s="28"/>
      <c r="M161" s="19"/>
    </row>
    <row r="162">
      <c r="A162" s="42" t="s">
        <v>76</v>
      </c>
      <c r="B162" s="22">
        <v>44578.0</v>
      </c>
      <c r="C162" s="23" t="s">
        <v>326</v>
      </c>
      <c r="D162" s="26" t="s">
        <v>21</v>
      </c>
      <c r="E162" s="27" t="s">
        <v>30</v>
      </c>
      <c r="F162" s="27" t="s">
        <v>117</v>
      </c>
      <c r="G162" s="27" t="s">
        <v>32</v>
      </c>
      <c r="H162" s="27" t="s">
        <v>35</v>
      </c>
      <c r="I162" s="23" t="s">
        <v>327</v>
      </c>
      <c r="J162" s="17">
        <v>149.0</v>
      </c>
      <c r="K162" s="17">
        <v>668.0</v>
      </c>
      <c r="L162" s="28"/>
      <c r="M162" s="19"/>
    </row>
    <row r="163">
      <c r="A163" s="20"/>
      <c r="B163" s="22">
        <v>44601.0</v>
      </c>
      <c r="C163" s="23" t="s">
        <v>328</v>
      </c>
      <c r="D163" s="26" t="s">
        <v>21</v>
      </c>
      <c r="E163" s="27" t="s">
        <v>30</v>
      </c>
      <c r="F163" s="27" t="s">
        <v>117</v>
      </c>
      <c r="G163" s="27" t="s">
        <v>32</v>
      </c>
      <c r="H163" s="27" t="s">
        <v>35</v>
      </c>
      <c r="I163" s="48"/>
      <c r="J163" s="28"/>
      <c r="K163" s="28"/>
      <c r="L163" s="28"/>
      <c r="M163" s="19"/>
    </row>
    <row r="164">
      <c r="A164" s="20"/>
      <c r="B164" s="22">
        <v>44501.0</v>
      </c>
      <c r="C164" s="23" t="s">
        <v>329</v>
      </c>
      <c r="D164" s="26" t="s">
        <v>21</v>
      </c>
      <c r="E164" s="27" t="s">
        <v>30</v>
      </c>
      <c r="F164" s="27" t="s">
        <v>117</v>
      </c>
      <c r="G164" s="27" t="s">
        <v>32</v>
      </c>
      <c r="H164" s="27" t="s">
        <v>35</v>
      </c>
      <c r="I164" s="48"/>
      <c r="J164" s="28"/>
      <c r="K164" s="28"/>
      <c r="L164" s="28"/>
      <c r="M164" s="19"/>
    </row>
    <row r="165">
      <c r="A165" s="20"/>
      <c r="B165" s="22">
        <v>44680.0</v>
      </c>
      <c r="C165" s="23" t="s">
        <v>330</v>
      </c>
      <c r="D165" s="26" t="s">
        <v>21</v>
      </c>
      <c r="E165" s="27" t="s">
        <v>30</v>
      </c>
      <c r="F165" s="27" t="s">
        <v>117</v>
      </c>
      <c r="G165" s="27" t="s">
        <v>32</v>
      </c>
      <c r="H165" s="27" t="s">
        <v>35</v>
      </c>
      <c r="I165" s="48"/>
      <c r="J165" s="28"/>
      <c r="K165" s="28"/>
      <c r="L165" s="28"/>
      <c r="M165" s="19"/>
    </row>
    <row r="166">
      <c r="A166" s="20"/>
      <c r="B166" s="22">
        <v>44500.0</v>
      </c>
      <c r="C166" s="23" t="s">
        <v>331</v>
      </c>
      <c r="D166" s="26" t="s">
        <v>21</v>
      </c>
      <c r="E166" s="27" t="s">
        <v>30</v>
      </c>
      <c r="F166" s="27" t="s">
        <v>117</v>
      </c>
      <c r="G166" s="27" t="s">
        <v>32</v>
      </c>
      <c r="H166" s="27" t="s">
        <v>35</v>
      </c>
      <c r="I166" s="23" t="s">
        <v>332</v>
      </c>
      <c r="J166" s="17">
        <v>209.0</v>
      </c>
      <c r="K166" s="17">
        <v>689.0</v>
      </c>
      <c r="L166" s="17" t="s">
        <v>88</v>
      </c>
      <c r="M166" s="19"/>
    </row>
    <row r="167">
      <c r="A167" s="20"/>
      <c r="B167" s="22">
        <v>45017.0</v>
      </c>
      <c r="C167" s="23" t="s">
        <v>333</v>
      </c>
      <c r="D167" s="26" t="s">
        <v>21</v>
      </c>
      <c r="E167" s="27" t="s">
        <v>334</v>
      </c>
      <c r="F167" s="27" t="s">
        <v>335</v>
      </c>
      <c r="G167" s="27" t="s">
        <v>32</v>
      </c>
      <c r="H167" s="27" t="s">
        <v>44</v>
      </c>
      <c r="I167" s="48"/>
      <c r="J167" s="28"/>
      <c r="K167" s="28"/>
      <c r="L167" s="28"/>
      <c r="M167" s="19"/>
    </row>
    <row r="168">
      <c r="A168" s="63" t="s">
        <v>181</v>
      </c>
      <c r="B168" s="30">
        <v>44835.0</v>
      </c>
      <c r="C168" s="23" t="s">
        <v>336</v>
      </c>
      <c r="D168" s="26" t="s">
        <v>21</v>
      </c>
      <c r="E168" s="27" t="s">
        <v>334</v>
      </c>
      <c r="F168" s="27" t="s">
        <v>337</v>
      </c>
      <c r="G168" s="27" t="s">
        <v>32</v>
      </c>
      <c r="H168" s="27" t="s">
        <v>52</v>
      </c>
      <c r="I168" s="48"/>
      <c r="J168" s="28"/>
      <c r="K168" s="28"/>
      <c r="L168" s="28"/>
      <c r="M168" s="19"/>
    </row>
    <row r="169">
      <c r="A169" s="20"/>
      <c r="B169" s="33">
        <v>44714.0</v>
      </c>
      <c r="C169" s="23" t="s">
        <v>338</v>
      </c>
      <c r="D169" s="26" t="s">
        <v>21</v>
      </c>
      <c r="E169" s="27" t="s">
        <v>334</v>
      </c>
      <c r="F169" s="27" t="s">
        <v>337</v>
      </c>
      <c r="G169" s="27" t="s">
        <v>32</v>
      </c>
      <c r="H169" s="27" t="s">
        <v>52</v>
      </c>
      <c r="I169" s="48"/>
      <c r="J169" s="28"/>
      <c r="K169" s="28"/>
      <c r="L169" s="28"/>
      <c r="M169" s="19"/>
    </row>
    <row r="170">
      <c r="A170" s="20"/>
      <c r="B170" s="22">
        <v>44778.0</v>
      </c>
      <c r="C170" s="23" t="s">
        <v>339</v>
      </c>
      <c r="D170" s="26" t="s">
        <v>21</v>
      </c>
      <c r="E170" s="27" t="s">
        <v>334</v>
      </c>
      <c r="F170" s="27" t="s">
        <v>335</v>
      </c>
      <c r="G170" s="27" t="s">
        <v>32</v>
      </c>
      <c r="H170" s="27" t="s">
        <v>35</v>
      </c>
      <c r="I170" s="48"/>
      <c r="J170" s="17" t="s">
        <v>340</v>
      </c>
      <c r="K170" s="28"/>
      <c r="L170" s="28"/>
      <c r="M170" s="19"/>
    </row>
    <row r="171">
      <c r="A171" s="20"/>
      <c r="B171" s="22">
        <v>44702.0</v>
      </c>
      <c r="C171" s="23" t="s">
        <v>341</v>
      </c>
      <c r="D171" s="26" t="s">
        <v>21</v>
      </c>
      <c r="E171" s="27" t="s">
        <v>334</v>
      </c>
      <c r="F171" s="27" t="s">
        <v>335</v>
      </c>
      <c r="G171" s="27" t="s">
        <v>32</v>
      </c>
      <c r="H171" s="27" t="s">
        <v>35</v>
      </c>
      <c r="I171" s="23" t="s">
        <v>342</v>
      </c>
      <c r="J171" s="17">
        <v>165.0</v>
      </c>
      <c r="K171" s="17">
        <v>566.0</v>
      </c>
      <c r="L171" s="17" t="s">
        <v>88</v>
      </c>
      <c r="M171" s="19"/>
    </row>
    <row r="172">
      <c r="A172" s="63" t="s">
        <v>193</v>
      </c>
      <c r="B172" s="22">
        <v>45033.0</v>
      </c>
      <c r="C172" s="23" t="s">
        <v>343</v>
      </c>
      <c r="D172" s="26" t="s">
        <v>21</v>
      </c>
      <c r="E172" s="27" t="s">
        <v>334</v>
      </c>
      <c r="F172" s="27" t="s">
        <v>335</v>
      </c>
      <c r="G172" s="27" t="s">
        <v>32</v>
      </c>
      <c r="H172" s="27" t="s">
        <v>35</v>
      </c>
      <c r="I172" s="48"/>
      <c r="J172" s="28"/>
      <c r="K172" s="28"/>
      <c r="L172" s="28"/>
      <c r="M172" s="19"/>
    </row>
    <row r="173">
      <c r="A173" s="63" t="s">
        <v>193</v>
      </c>
      <c r="B173" s="30">
        <v>45074.0</v>
      </c>
      <c r="C173" s="23" t="s">
        <v>344</v>
      </c>
      <c r="D173" s="26" t="s">
        <v>21</v>
      </c>
      <c r="E173" s="27" t="s">
        <v>334</v>
      </c>
      <c r="F173" s="27" t="s">
        <v>335</v>
      </c>
      <c r="G173" s="27" t="s">
        <v>32</v>
      </c>
      <c r="H173" s="27" t="s">
        <v>44</v>
      </c>
      <c r="I173" s="48"/>
      <c r="J173" s="28"/>
      <c r="K173" s="28"/>
      <c r="L173" s="28"/>
      <c r="M173" s="19"/>
    </row>
    <row r="174">
      <c r="A174" s="20"/>
      <c r="B174" s="22">
        <v>45241.0</v>
      </c>
      <c r="C174" s="23" t="s">
        <v>345</v>
      </c>
      <c r="D174" s="26" t="s">
        <v>21</v>
      </c>
      <c r="E174" s="27" t="s">
        <v>334</v>
      </c>
      <c r="F174" s="27" t="s">
        <v>335</v>
      </c>
      <c r="G174" s="27" t="s">
        <v>32</v>
      </c>
      <c r="H174" s="27" t="s">
        <v>44</v>
      </c>
      <c r="I174" s="23" t="s">
        <v>346</v>
      </c>
      <c r="J174" s="17">
        <v>34.0</v>
      </c>
      <c r="K174" s="17">
        <v>148.0</v>
      </c>
      <c r="L174" s="17" t="s">
        <v>88</v>
      </c>
      <c r="M174" s="19"/>
    </row>
    <row r="175">
      <c r="A175" s="20"/>
      <c r="B175" s="22">
        <v>45142.0</v>
      </c>
      <c r="C175" s="23" t="s">
        <v>347</v>
      </c>
      <c r="D175" s="26" t="s">
        <v>21</v>
      </c>
      <c r="E175" s="27" t="s">
        <v>334</v>
      </c>
      <c r="F175" s="27" t="s">
        <v>337</v>
      </c>
      <c r="G175" s="27" t="s">
        <v>32</v>
      </c>
      <c r="H175" s="27" t="s">
        <v>44</v>
      </c>
      <c r="I175" s="23" t="s">
        <v>348</v>
      </c>
      <c r="J175" s="17">
        <v>68.0</v>
      </c>
      <c r="K175" s="17">
        <v>219.0</v>
      </c>
      <c r="L175" s="17" t="s">
        <v>88</v>
      </c>
      <c r="M175" s="19"/>
    </row>
    <row r="176">
      <c r="A176" s="20"/>
      <c r="B176" s="22">
        <v>44823.0</v>
      </c>
      <c r="C176" s="23" t="s">
        <v>349</v>
      </c>
      <c r="D176" s="26" t="s">
        <v>21</v>
      </c>
      <c r="E176" s="27" t="s">
        <v>334</v>
      </c>
      <c r="F176" s="27" t="s">
        <v>335</v>
      </c>
      <c r="G176" s="27" t="s">
        <v>32</v>
      </c>
      <c r="H176" s="27" t="s">
        <v>52</v>
      </c>
      <c r="I176" s="23" t="s">
        <v>350</v>
      </c>
      <c r="J176" s="17">
        <v>1.0</v>
      </c>
      <c r="K176" s="17">
        <v>5.0</v>
      </c>
      <c r="L176" s="17" t="s">
        <v>351</v>
      </c>
      <c r="M176" s="19"/>
    </row>
    <row r="177">
      <c r="A177" s="20"/>
      <c r="B177" s="22">
        <v>44906.0</v>
      </c>
      <c r="C177" s="23" t="s">
        <v>352</v>
      </c>
      <c r="D177" s="26" t="s">
        <v>21</v>
      </c>
      <c r="E177" s="27" t="s">
        <v>334</v>
      </c>
      <c r="F177" s="27" t="s">
        <v>335</v>
      </c>
      <c r="G177" s="27" t="s">
        <v>32</v>
      </c>
      <c r="H177" s="27" t="s">
        <v>44</v>
      </c>
      <c r="I177" s="23" t="s">
        <v>342</v>
      </c>
      <c r="J177" s="17">
        <v>165.0</v>
      </c>
      <c r="K177" s="17">
        <v>566.0</v>
      </c>
      <c r="L177" s="17" t="s">
        <v>88</v>
      </c>
      <c r="M177" s="19"/>
    </row>
    <row r="178">
      <c r="A178" s="20"/>
      <c r="B178" s="33">
        <v>44664.0</v>
      </c>
      <c r="C178" s="23" t="s">
        <v>353</v>
      </c>
      <c r="D178" s="26" t="s">
        <v>21</v>
      </c>
      <c r="E178" s="27" t="s">
        <v>334</v>
      </c>
      <c r="F178" s="27" t="s">
        <v>335</v>
      </c>
      <c r="G178" s="27" t="s">
        <v>32</v>
      </c>
      <c r="H178" s="27" t="s">
        <v>52</v>
      </c>
      <c r="I178" s="48"/>
      <c r="J178" s="28"/>
      <c r="K178" s="28"/>
      <c r="L178" s="28"/>
      <c r="M178" s="19"/>
    </row>
    <row r="179">
      <c r="A179" s="20"/>
      <c r="B179" s="22">
        <v>45206.0</v>
      </c>
      <c r="C179" s="23" t="s">
        <v>354</v>
      </c>
      <c r="D179" s="26" t="s">
        <v>21</v>
      </c>
      <c r="E179" s="27" t="s">
        <v>334</v>
      </c>
      <c r="F179" s="27" t="s">
        <v>335</v>
      </c>
      <c r="G179" s="27" t="s">
        <v>32</v>
      </c>
      <c r="H179" s="27" t="s">
        <v>44</v>
      </c>
      <c r="I179" s="48"/>
      <c r="J179" s="28"/>
      <c r="K179" s="28"/>
      <c r="L179" s="28"/>
      <c r="M179" s="19"/>
    </row>
    <row r="180">
      <c r="A180" s="20"/>
      <c r="B180" s="22">
        <v>44648.0</v>
      </c>
      <c r="C180" s="23" t="s">
        <v>355</v>
      </c>
      <c r="D180" s="26" t="s">
        <v>21</v>
      </c>
      <c r="E180" s="27" t="s">
        <v>334</v>
      </c>
      <c r="F180" s="27" t="s">
        <v>335</v>
      </c>
      <c r="G180" s="27" t="s">
        <v>32</v>
      </c>
      <c r="H180" s="27" t="s">
        <v>52</v>
      </c>
      <c r="I180" s="48"/>
      <c r="J180" s="28"/>
      <c r="K180" s="28"/>
      <c r="L180" s="28"/>
      <c r="M180" s="19"/>
    </row>
    <row r="181">
      <c r="A181" s="20"/>
      <c r="B181" s="22">
        <v>44887.0</v>
      </c>
      <c r="C181" s="23" t="s">
        <v>356</v>
      </c>
      <c r="D181" s="26" t="s">
        <v>21</v>
      </c>
      <c r="E181" s="27" t="s">
        <v>334</v>
      </c>
      <c r="F181" s="27" t="s">
        <v>335</v>
      </c>
      <c r="G181" s="27" t="s">
        <v>191</v>
      </c>
      <c r="H181" s="27" t="s">
        <v>44</v>
      </c>
      <c r="I181" s="48"/>
      <c r="J181" s="28"/>
      <c r="K181" s="28"/>
      <c r="L181" s="28"/>
      <c r="M181" s="19"/>
    </row>
    <row r="182">
      <c r="A182" s="63" t="s">
        <v>193</v>
      </c>
      <c r="B182" s="33">
        <v>44593.0</v>
      </c>
      <c r="C182" s="23" t="s">
        <v>357</v>
      </c>
      <c r="D182" s="26" t="s">
        <v>21</v>
      </c>
      <c r="E182" s="27" t="s">
        <v>334</v>
      </c>
      <c r="F182" s="27" t="s">
        <v>335</v>
      </c>
      <c r="G182" s="27" t="s">
        <v>32</v>
      </c>
      <c r="H182" s="27" t="s">
        <v>52</v>
      </c>
      <c r="I182" s="48"/>
      <c r="J182" s="28"/>
      <c r="K182" s="28"/>
      <c r="L182" s="28"/>
      <c r="M182" s="19"/>
    </row>
    <row r="183">
      <c r="A183" s="20"/>
      <c r="B183" s="22">
        <v>45124.0</v>
      </c>
      <c r="C183" s="23" t="s">
        <v>358</v>
      </c>
      <c r="D183" s="26" t="s">
        <v>21</v>
      </c>
      <c r="E183" s="27" t="s">
        <v>334</v>
      </c>
      <c r="F183" s="27" t="s">
        <v>337</v>
      </c>
      <c r="G183" s="27" t="s">
        <v>359</v>
      </c>
      <c r="H183" s="27" t="s">
        <v>44</v>
      </c>
      <c r="I183" s="48"/>
      <c r="J183" s="17" t="s">
        <v>360</v>
      </c>
      <c r="K183" s="28"/>
      <c r="L183" s="28"/>
      <c r="M183" s="19"/>
    </row>
    <row r="184">
      <c r="A184" s="20"/>
      <c r="B184" s="22">
        <v>44750.0</v>
      </c>
      <c r="C184" s="23" t="s">
        <v>361</v>
      </c>
      <c r="D184" s="26" t="s">
        <v>21</v>
      </c>
      <c r="E184" s="27" t="s">
        <v>334</v>
      </c>
      <c r="F184" s="27" t="s">
        <v>335</v>
      </c>
      <c r="G184" s="27" t="s">
        <v>359</v>
      </c>
      <c r="H184" s="27" t="s">
        <v>52</v>
      </c>
      <c r="I184" s="48"/>
      <c r="J184" s="28"/>
      <c r="K184" s="28"/>
      <c r="L184" s="28"/>
      <c r="M184" s="19"/>
    </row>
    <row r="185">
      <c r="A185" s="66"/>
      <c r="B185" s="30">
        <v>44930.0</v>
      </c>
      <c r="C185" s="23" t="s">
        <v>362</v>
      </c>
      <c r="D185" s="26" t="s">
        <v>21</v>
      </c>
      <c r="E185" s="27" t="s">
        <v>334</v>
      </c>
      <c r="F185" s="27" t="s">
        <v>335</v>
      </c>
      <c r="G185" s="27" t="s">
        <v>32</v>
      </c>
      <c r="H185" s="27" t="s">
        <v>44</v>
      </c>
      <c r="I185" s="48"/>
      <c r="J185" s="28"/>
      <c r="K185" s="28"/>
      <c r="L185" s="28"/>
      <c r="M185" s="19"/>
    </row>
    <row r="186">
      <c r="A186" s="20"/>
      <c r="B186" s="33">
        <v>44622.0</v>
      </c>
      <c r="C186" s="23" t="s">
        <v>363</v>
      </c>
      <c r="D186" s="26" t="s">
        <v>21</v>
      </c>
      <c r="E186" s="27" t="s">
        <v>30</v>
      </c>
      <c r="F186" s="27" t="s">
        <v>31</v>
      </c>
      <c r="G186" s="27" t="s">
        <v>32</v>
      </c>
      <c r="H186" s="27" t="s">
        <v>52</v>
      </c>
      <c r="I186" s="48"/>
      <c r="J186" s="28"/>
      <c r="K186" s="28"/>
      <c r="L186" s="28"/>
      <c r="M186" s="19"/>
    </row>
    <row r="187">
      <c r="A187" s="20"/>
      <c r="B187" s="33">
        <v>44496.0</v>
      </c>
      <c r="C187" s="23" t="s">
        <v>364</v>
      </c>
      <c r="D187" s="26" t="s">
        <v>21</v>
      </c>
      <c r="E187" s="27" t="s">
        <v>334</v>
      </c>
      <c r="F187" s="27" t="s">
        <v>335</v>
      </c>
      <c r="G187" s="27" t="s">
        <v>32</v>
      </c>
      <c r="H187" s="27" t="s">
        <v>52</v>
      </c>
      <c r="I187" s="48"/>
      <c r="J187" s="28"/>
      <c r="K187" s="28"/>
      <c r="L187" s="28"/>
      <c r="M187" s="19"/>
    </row>
    <row r="188">
      <c r="A188" s="20"/>
      <c r="B188" s="22">
        <v>44440.0</v>
      </c>
      <c r="C188" s="23" t="s">
        <v>365</v>
      </c>
      <c r="D188" s="26" t="s">
        <v>21</v>
      </c>
      <c r="E188" s="27" t="s">
        <v>334</v>
      </c>
      <c r="F188" s="27" t="s">
        <v>335</v>
      </c>
      <c r="G188" s="27" t="s">
        <v>32</v>
      </c>
      <c r="H188" s="27" t="s">
        <v>52</v>
      </c>
      <c r="I188" s="48"/>
      <c r="J188" s="28"/>
      <c r="K188" s="28"/>
      <c r="L188" s="28"/>
      <c r="M188" s="19"/>
    </row>
    <row r="189">
      <c r="A189" s="20"/>
      <c r="B189" s="22">
        <v>44277.0</v>
      </c>
      <c r="C189" s="23" t="s">
        <v>366</v>
      </c>
      <c r="D189" s="26" t="s">
        <v>21</v>
      </c>
      <c r="E189" s="27" t="s">
        <v>334</v>
      </c>
      <c r="F189" s="27" t="s">
        <v>335</v>
      </c>
      <c r="G189" s="27" t="s">
        <v>32</v>
      </c>
      <c r="H189" s="27" t="s">
        <v>52</v>
      </c>
      <c r="I189" s="48"/>
      <c r="J189" s="28"/>
      <c r="K189" s="28"/>
      <c r="L189" s="28"/>
      <c r="M189" s="19"/>
    </row>
    <row r="190">
      <c r="A190" s="20"/>
      <c r="B190" s="22">
        <v>44500.0</v>
      </c>
      <c r="C190" s="23" t="s">
        <v>367</v>
      </c>
      <c r="D190" s="26" t="s">
        <v>21</v>
      </c>
      <c r="E190" s="27" t="s">
        <v>334</v>
      </c>
      <c r="F190" s="27" t="s">
        <v>335</v>
      </c>
      <c r="G190" s="27" t="s">
        <v>32</v>
      </c>
      <c r="H190" s="27" t="s">
        <v>35</v>
      </c>
      <c r="I190" s="48"/>
      <c r="J190" s="28"/>
      <c r="K190" s="28"/>
      <c r="L190" s="28"/>
      <c r="M190" s="19"/>
    </row>
    <row r="191">
      <c r="A191" s="20"/>
      <c r="B191" s="22">
        <v>44350.0</v>
      </c>
      <c r="C191" s="23" t="s">
        <v>368</v>
      </c>
      <c r="D191" s="26" t="s">
        <v>21</v>
      </c>
      <c r="E191" s="27" t="s">
        <v>334</v>
      </c>
      <c r="F191" s="27" t="s">
        <v>335</v>
      </c>
      <c r="G191" s="27" t="s">
        <v>32</v>
      </c>
      <c r="H191" s="27" t="s">
        <v>35</v>
      </c>
      <c r="I191" s="48"/>
      <c r="J191" s="28"/>
      <c r="K191" s="28"/>
      <c r="L191" s="28"/>
      <c r="M191" s="19"/>
    </row>
    <row r="192">
      <c r="A192" s="20"/>
      <c r="B192" s="22">
        <v>44199.0</v>
      </c>
      <c r="C192" s="23" t="s">
        <v>369</v>
      </c>
      <c r="D192" s="26" t="s">
        <v>21</v>
      </c>
      <c r="E192" s="27" t="s">
        <v>334</v>
      </c>
      <c r="F192" s="27" t="s">
        <v>337</v>
      </c>
      <c r="G192" s="27" t="s">
        <v>32</v>
      </c>
      <c r="H192" s="27" t="s">
        <v>35</v>
      </c>
      <c r="I192" s="48"/>
      <c r="J192" s="28"/>
      <c r="K192" s="28"/>
      <c r="L192" s="28"/>
      <c r="M192" s="19"/>
    </row>
    <row r="193">
      <c r="A193" s="20"/>
      <c r="B193" s="22">
        <v>44040.0</v>
      </c>
      <c r="C193" s="23" t="s">
        <v>370</v>
      </c>
      <c r="D193" s="26" t="s">
        <v>21</v>
      </c>
      <c r="E193" s="27" t="s">
        <v>334</v>
      </c>
      <c r="F193" s="27" t="s">
        <v>335</v>
      </c>
      <c r="G193" s="27" t="s">
        <v>32</v>
      </c>
      <c r="H193" s="27" t="s">
        <v>35</v>
      </c>
      <c r="I193" s="48"/>
      <c r="J193" s="28"/>
      <c r="K193" s="28"/>
      <c r="L193" s="28"/>
      <c r="M193" s="19"/>
    </row>
    <row r="194">
      <c r="A194" s="20"/>
      <c r="B194" s="22">
        <v>44294.0</v>
      </c>
      <c r="C194" s="23" t="s">
        <v>371</v>
      </c>
      <c r="D194" s="26" t="s">
        <v>21</v>
      </c>
      <c r="E194" s="27" t="s">
        <v>334</v>
      </c>
      <c r="F194" s="27" t="s">
        <v>335</v>
      </c>
      <c r="G194" s="27" t="s">
        <v>32</v>
      </c>
      <c r="H194" s="27" t="s">
        <v>35</v>
      </c>
      <c r="I194" s="48"/>
      <c r="J194" s="28"/>
      <c r="K194" s="28"/>
      <c r="L194" s="28"/>
      <c r="M194" s="19"/>
    </row>
    <row r="195">
      <c r="A195" s="20"/>
      <c r="B195" s="22">
        <v>44335.0</v>
      </c>
      <c r="C195" s="23" t="s">
        <v>372</v>
      </c>
      <c r="D195" s="26" t="s">
        <v>21</v>
      </c>
      <c r="E195" s="27" t="s">
        <v>334</v>
      </c>
      <c r="F195" s="27" t="s">
        <v>335</v>
      </c>
      <c r="G195" s="27" t="s">
        <v>32</v>
      </c>
      <c r="H195" s="27" t="s">
        <v>35</v>
      </c>
      <c r="I195" s="48"/>
      <c r="J195" s="28"/>
      <c r="K195" s="28"/>
      <c r="L195" s="28"/>
      <c r="M195" s="19"/>
    </row>
    <row r="196">
      <c r="A196" s="20"/>
      <c r="B196" s="22">
        <v>44584.0</v>
      </c>
      <c r="C196" s="23" t="s">
        <v>373</v>
      </c>
      <c r="D196" s="26" t="s">
        <v>21</v>
      </c>
      <c r="E196" s="27" t="s">
        <v>334</v>
      </c>
      <c r="F196" s="27" t="s">
        <v>335</v>
      </c>
      <c r="G196" s="27" t="s">
        <v>32</v>
      </c>
      <c r="H196" s="27" t="s">
        <v>35</v>
      </c>
      <c r="I196" s="23" t="s">
        <v>374</v>
      </c>
      <c r="J196" s="17">
        <v>15.0</v>
      </c>
      <c r="K196" s="28"/>
      <c r="L196" s="28"/>
      <c r="M196" s="19"/>
    </row>
    <row r="197">
      <c r="A197" s="20"/>
      <c r="B197" s="22">
        <v>45224.0</v>
      </c>
      <c r="C197" s="23" t="s">
        <v>375</v>
      </c>
      <c r="D197" s="26" t="s">
        <v>21</v>
      </c>
      <c r="E197" s="27" t="s">
        <v>376</v>
      </c>
      <c r="F197" s="27" t="s">
        <v>117</v>
      </c>
      <c r="G197" s="27" t="s">
        <v>32</v>
      </c>
      <c r="H197" s="27" t="s">
        <v>44</v>
      </c>
      <c r="I197" s="23" t="s">
        <v>377</v>
      </c>
      <c r="J197" s="17">
        <v>138.0</v>
      </c>
      <c r="K197" s="17">
        <v>643.0</v>
      </c>
      <c r="L197" s="28"/>
      <c r="M197" s="19"/>
    </row>
    <row r="198">
      <c r="A198" s="20"/>
      <c r="B198" s="22">
        <v>44728.0</v>
      </c>
      <c r="C198" s="23" t="s">
        <v>378</v>
      </c>
      <c r="D198" s="26" t="s">
        <v>21</v>
      </c>
      <c r="E198" s="27" t="s">
        <v>359</v>
      </c>
      <c r="F198" s="27" t="s">
        <v>379</v>
      </c>
      <c r="G198" s="27" t="s">
        <v>32</v>
      </c>
      <c r="H198" s="27" t="s">
        <v>44</v>
      </c>
      <c r="I198" s="48"/>
      <c r="J198" s="28"/>
      <c r="K198" s="28"/>
      <c r="L198" s="28"/>
      <c r="M198" s="19"/>
    </row>
    <row r="199">
      <c r="A199" s="42" t="s">
        <v>76</v>
      </c>
      <c r="B199" s="22">
        <v>44726.0</v>
      </c>
      <c r="C199" s="23" t="s">
        <v>380</v>
      </c>
      <c r="D199" s="26" t="s">
        <v>21</v>
      </c>
      <c r="E199" s="27" t="s">
        <v>376</v>
      </c>
      <c r="F199" s="27" t="s">
        <v>379</v>
      </c>
      <c r="G199" s="27" t="s">
        <v>32</v>
      </c>
      <c r="H199" s="27" t="s">
        <v>52</v>
      </c>
      <c r="I199" s="48"/>
      <c r="J199" s="28"/>
      <c r="K199" s="28"/>
      <c r="L199" s="28"/>
      <c r="M199" s="19"/>
    </row>
    <row r="200">
      <c r="A200" s="20"/>
      <c r="B200" s="30">
        <v>45034.0</v>
      </c>
      <c r="C200" s="23" t="s">
        <v>381</v>
      </c>
      <c r="D200" s="26" t="s">
        <v>21</v>
      </c>
      <c r="E200" s="27" t="s">
        <v>359</v>
      </c>
      <c r="F200" s="27" t="s">
        <v>379</v>
      </c>
      <c r="G200" s="27" t="s">
        <v>32</v>
      </c>
      <c r="H200" s="27" t="s">
        <v>44</v>
      </c>
      <c r="I200" s="48"/>
      <c r="J200" s="28"/>
      <c r="K200" s="28"/>
      <c r="L200" s="28"/>
      <c r="M200" s="19"/>
    </row>
    <row r="201">
      <c r="A201" s="42" t="s">
        <v>76</v>
      </c>
      <c r="B201" s="22">
        <v>45235.0</v>
      </c>
      <c r="C201" s="23" t="s">
        <v>382</v>
      </c>
      <c r="D201" s="26" t="s">
        <v>21</v>
      </c>
      <c r="E201" s="27" t="s">
        <v>359</v>
      </c>
      <c r="F201" s="27" t="s">
        <v>383</v>
      </c>
      <c r="G201" s="27" t="s">
        <v>32</v>
      </c>
      <c r="H201" s="27" t="s">
        <v>44</v>
      </c>
      <c r="I201" s="23" t="s">
        <v>384</v>
      </c>
      <c r="J201" s="17">
        <v>421.0</v>
      </c>
      <c r="K201" s="17">
        <v>2101.0</v>
      </c>
      <c r="L201" s="17" t="s">
        <v>88</v>
      </c>
      <c r="M201" s="19"/>
    </row>
    <row r="202">
      <c r="A202" s="20"/>
      <c r="B202" s="22">
        <v>45086.0</v>
      </c>
      <c r="C202" s="23" t="s">
        <v>385</v>
      </c>
      <c r="D202" s="26" t="s">
        <v>21</v>
      </c>
      <c r="E202" s="27" t="s">
        <v>359</v>
      </c>
      <c r="F202" s="27" t="s">
        <v>379</v>
      </c>
      <c r="G202" s="27" t="s">
        <v>32</v>
      </c>
      <c r="H202" s="27" t="s">
        <v>52</v>
      </c>
      <c r="I202" s="48"/>
      <c r="J202" s="28"/>
      <c r="K202" s="28"/>
      <c r="L202" s="28"/>
      <c r="M202" s="19"/>
    </row>
    <row r="203">
      <c r="A203" s="20"/>
      <c r="B203" s="22">
        <v>45170.0</v>
      </c>
      <c r="C203" s="23" t="s">
        <v>386</v>
      </c>
      <c r="D203" s="26" t="s">
        <v>21</v>
      </c>
      <c r="E203" s="27" t="s">
        <v>376</v>
      </c>
      <c r="F203" s="27" t="s">
        <v>117</v>
      </c>
      <c r="G203" s="27" t="s">
        <v>32</v>
      </c>
      <c r="H203" s="27" t="s">
        <v>44</v>
      </c>
      <c r="I203" s="48"/>
      <c r="J203" s="28"/>
      <c r="K203" s="28"/>
      <c r="L203" s="28"/>
      <c r="M203" s="19"/>
    </row>
    <row r="204">
      <c r="A204" s="65" t="s">
        <v>387</v>
      </c>
      <c r="B204" s="33">
        <v>44710.0</v>
      </c>
      <c r="C204" s="23" t="s">
        <v>388</v>
      </c>
      <c r="D204" s="26" t="s">
        <v>21</v>
      </c>
      <c r="E204" s="27" t="s">
        <v>359</v>
      </c>
      <c r="F204" s="27" t="s">
        <v>379</v>
      </c>
      <c r="G204" s="27" t="s">
        <v>32</v>
      </c>
      <c r="H204" s="27" t="s">
        <v>44</v>
      </c>
      <c r="I204" s="48"/>
      <c r="J204" s="28"/>
      <c r="K204" s="28"/>
      <c r="L204" s="28"/>
      <c r="M204" s="19"/>
    </row>
    <row r="205">
      <c r="A205" s="63" t="s">
        <v>193</v>
      </c>
      <c r="B205" s="22">
        <v>44702.0</v>
      </c>
      <c r="C205" s="23" t="s">
        <v>389</v>
      </c>
      <c r="D205" s="26" t="s">
        <v>21</v>
      </c>
      <c r="E205" s="27" t="s">
        <v>359</v>
      </c>
      <c r="F205" s="27" t="s">
        <v>379</v>
      </c>
      <c r="G205" s="27" t="s">
        <v>390</v>
      </c>
      <c r="H205" s="27" t="s">
        <v>52</v>
      </c>
      <c r="I205" s="48"/>
      <c r="J205" s="28"/>
      <c r="K205" s="28"/>
      <c r="L205" s="28"/>
      <c r="M205" s="19"/>
    </row>
    <row r="206">
      <c r="A206" s="42" t="s">
        <v>76</v>
      </c>
      <c r="B206" s="33">
        <v>44699.0</v>
      </c>
      <c r="C206" s="23" t="s">
        <v>391</v>
      </c>
      <c r="D206" s="26" t="s">
        <v>21</v>
      </c>
      <c r="E206" s="27" t="s">
        <v>392</v>
      </c>
      <c r="F206" s="27" t="s">
        <v>335</v>
      </c>
      <c r="G206" s="27" t="s">
        <v>155</v>
      </c>
      <c r="H206" s="27" t="s">
        <v>52</v>
      </c>
      <c r="I206" s="23" t="s">
        <v>393</v>
      </c>
      <c r="J206" s="28"/>
      <c r="K206" s="28"/>
      <c r="L206" s="28"/>
      <c r="M206" s="19"/>
    </row>
    <row r="207">
      <c r="A207" s="20"/>
      <c r="B207" s="22">
        <v>45240.0</v>
      </c>
      <c r="C207" s="23" t="s">
        <v>394</v>
      </c>
      <c r="D207" s="26" t="s">
        <v>21</v>
      </c>
      <c r="E207" s="27" t="s">
        <v>359</v>
      </c>
      <c r="F207" s="27" t="s">
        <v>117</v>
      </c>
      <c r="G207" s="27" t="s">
        <v>32</v>
      </c>
      <c r="H207" s="27" t="s">
        <v>44</v>
      </c>
      <c r="I207" s="48"/>
      <c r="J207" s="28"/>
      <c r="K207" s="28"/>
      <c r="L207" s="28"/>
      <c r="M207" s="19"/>
    </row>
    <row r="208">
      <c r="A208" s="20"/>
      <c r="B208" s="33">
        <v>44699.0</v>
      </c>
      <c r="C208" s="23" t="s">
        <v>395</v>
      </c>
      <c r="D208" s="26" t="s">
        <v>21</v>
      </c>
      <c r="E208" s="27" t="s">
        <v>359</v>
      </c>
      <c r="F208" s="27" t="s">
        <v>379</v>
      </c>
      <c r="G208" s="27" t="s">
        <v>32</v>
      </c>
      <c r="H208" s="27" t="s">
        <v>52</v>
      </c>
      <c r="I208" s="48"/>
      <c r="J208" s="28"/>
      <c r="K208" s="28"/>
      <c r="L208" s="28"/>
      <c r="M208" s="19"/>
    </row>
    <row r="209">
      <c r="A209" s="63" t="s">
        <v>193</v>
      </c>
      <c r="B209" s="33">
        <v>44683.0</v>
      </c>
      <c r="C209" s="23" t="s">
        <v>396</v>
      </c>
      <c r="D209" s="26" t="s">
        <v>21</v>
      </c>
      <c r="E209" s="27" t="s">
        <v>359</v>
      </c>
      <c r="F209" s="27" t="s">
        <v>117</v>
      </c>
      <c r="G209" s="27" t="s">
        <v>32</v>
      </c>
      <c r="H209" s="27" t="s">
        <v>52</v>
      </c>
      <c r="I209" s="48"/>
      <c r="J209" s="28"/>
      <c r="K209" s="28"/>
      <c r="L209" s="28"/>
      <c r="M209" s="19"/>
    </row>
    <row r="210">
      <c r="A210" s="20"/>
      <c r="B210" s="22">
        <v>44615.0</v>
      </c>
      <c r="C210" s="23" t="s">
        <v>397</v>
      </c>
      <c r="D210" s="26" t="s">
        <v>21</v>
      </c>
      <c r="E210" s="27" t="s">
        <v>359</v>
      </c>
      <c r="F210" s="27" t="s">
        <v>379</v>
      </c>
      <c r="G210" s="27" t="s">
        <v>32</v>
      </c>
      <c r="H210" s="27" t="s">
        <v>52</v>
      </c>
      <c r="I210" s="48"/>
      <c r="J210" s="28"/>
      <c r="K210" s="28"/>
      <c r="L210" s="28"/>
      <c r="M210" s="19"/>
    </row>
    <row r="211">
      <c r="A211" s="20"/>
      <c r="B211" s="22">
        <v>45191.0</v>
      </c>
      <c r="C211" s="23" t="s">
        <v>398</v>
      </c>
      <c r="D211" s="26" t="s">
        <v>21</v>
      </c>
      <c r="E211" s="27" t="s">
        <v>399</v>
      </c>
      <c r="F211" s="27" t="s">
        <v>379</v>
      </c>
      <c r="G211" s="27" t="s">
        <v>32</v>
      </c>
      <c r="H211" s="27" t="s">
        <v>44</v>
      </c>
      <c r="I211" s="48"/>
      <c r="J211" s="28"/>
      <c r="K211" s="28"/>
      <c r="L211" s="28"/>
      <c r="M211" s="19"/>
    </row>
    <row r="212">
      <c r="A212" s="20"/>
      <c r="B212" s="30">
        <v>45130.0</v>
      </c>
      <c r="C212" s="23" t="s">
        <v>400</v>
      </c>
      <c r="D212" s="26" t="s">
        <v>21</v>
      </c>
      <c r="E212" s="27" t="s">
        <v>359</v>
      </c>
      <c r="F212" s="27" t="s">
        <v>379</v>
      </c>
      <c r="G212" s="27" t="s">
        <v>32</v>
      </c>
      <c r="H212" s="27" t="s">
        <v>44</v>
      </c>
      <c r="I212" s="48"/>
      <c r="J212" s="28"/>
      <c r="K212" s="28"/>
      <c r="L212" s="28"/>
      <c r="M212" s="19"/>
    </row>
    <row r="213">
      <c r="A213" s="63" t="s">
        <v>193</v>
      </c>
      <c r="B213" s="33">
        <v>44257.0</v>
      </c>
      <c r="C213" s="23" t="s">
        <v>401</v>
      </c>
      <c r="D213" s="26" t="s">
        <v>21</v>
      </c>
      <c r="E213" s="27" t="s">
        <v>359</v>
      </c>
      <c r="F213" s="27" t="s">
        <v>117</v>
      </c>
      <c r="G213" s="27" t="s">
        <v>32</v>
      </c>
      <c r="H213" s="27" t="s">
        <v>52</v>
      </c>
      <c r="I213" s="48"/>
      <c r="J213" s="28"/>
      <c r="K213" s="28"/>
      <c r="L213" s="28"/>
      <c r="M213" s="19"/>
    </row>
    <row r="214">
      <c r="A214" s="20"/>
      <c r="B214" s="22">
        <v>45222.0</v>
      </c>
      <c r="C214" s="23" t="s">
        <v>402</v>
      </c>
      <c r="D214" s="26" t="s">
        <v>21</v>
      </c>
      <c r="E214" s="27" t="s">
        <v>30</v>
      </c>
      <c r="F214" s="27" t="s">
        <v>117</v>
      </c>
      <c r="G214" s="27" t="s">
        <v>155</v>
      </c>
      <c r="H214" s="27" t="s">
        <v>35</v>
      </c>
      <c r="I214" s="48"/>
      <c r="J214" s="28"/>
      <c r="K214" s="28"/>
      <c r="L214" s="28"/>
      <c r="M214" s="19"/>
    </row>
    <row r="215">
      <c r="A215" s="20"/>
      <c r="B215" s="22">
        <v>45121.0</v>
      </c>
      <c r="C215" s="23" t="s">
        <v>403</v>
      </c>
      <c r="D215" s="26" t="s">
        <v>21</v>
      </c>
      <c r="E215" s="27" t="s">
        <v>334</v>
      </c>
      <c r="F215" s="27" t="s">
        <v>337</v>
      </c>
      <c r="G215" s="67" t="s">
        <v>155</v>
      </c>
      <c r="H215" s="27" t="s">
        <v>35</v>
      </c>
      <c r="I215" s="48"/>
      <c r="J215" s="28"/>
      <c r="K215" s="28"/>
      <c r="L215" s="28"/>
      <c r="M215" s="19"/>
    </row>
    <row r="216">
      <c r="A216" s="20"/>
      <c r="B216" s="22">
        <v>44671.0</v>
      </c>
      <c r="C216" s="23" t="s">
        <v>404</v>
      </c>
      <c r="D216" s="26" t="s">
        <v>21</v>
      </c>
      <c r="E216" s="27" t="s">
        <v>334</v>
      </c>
      <c r="F216" s="27" t="s">
        <v>335</v>
      </c>
      <c r="G216" s="67" t="s">
        <v>155</v>
      </c>
      <c r="H216" s="27" t="s">
        <v>52</v>
      </c>
      <c r="I216" s="48"/>
      <c r="J216" s="28"/>
      <c r="K216" s="28"/>
      <c r="L216" s="28"/>
      <c r="M216" s="19"/>
    </row>
    <row r="217">
      <c r="A217" s="20"/>
      <c r="B217" s="22">
        <v>44589.0</v>
      </c>
      <c r="C217" s="23" t="s">
        <v>405</v>
      </c>
      <c r="D217" s="26" t="s">
        <v>21</v>
      </c>
      <c r="E217" s="27" t="s">
        <v>359</v>
      </c>
      <c r="F217" s="27" t="s">
        <v>379</v>
      </c>
      <c r="G217" s="67" t="s">
        <v>155</v>
      </c>
      <c r="H217" s="27" t="s">
        <v>52</v>
      </c>
      <c r="I217" s="48"/>
      <c r="J217" s="28"/>
      <c r="K217" s="28"/>
      <c r="L217" s="28"/>
      <c r="M217" s="19"/>
    </row>
    <row r="218">
      <c r="A218" s="20"/>
      <c r="B218" s="22">
        <v>45104.0</v>
      </c>
      <c r="C218" s="23" t="s">
        <v>406</v>
      </c>
      <c r="D218" s="26" t="s">
        <v>21</v>
      </c>
      <c r="E218" s="27" t="s">
        <v>376</v>
      </c>
      <c r="F218" s="27" t="s">
        <v>379</v>
      </c>
      <c r="G218" s="27" t="s">
        <v>32</v>
      </c>
      <c r="H218" s="27" t="s">
        <v>35</v>
      </c>
      <c r="I218" s="48"/>
      <c r="J218" s="28"/>
      <c r="K218" s="28"/>
      <c r="L218" s="28"/>
      <c r="M218" s="19"/>
    </row>
    <row r="219">
      <c r="A219" s="20"/>
      <c r="B219" s="22">
        <v>44425.0</v>
      </c>
      <c r="C219" s="23" t="s">
        <v>407</v>
      </c>
      <c r="D219" s="26" t="s">
        <v>21</v>
      </c>
      <c r="E219" s="27" t="s">
        <v>376</v>
      </c>
      <c r="F219" s="27" t="s">
        <v>117</v>
      </c>
      <c r="G219" s="27" t="s">
        <v>32</v>
      </c>
      <c r="H219" s="27" t="s">
        <v>35</v>
      </c>
      <c r="I219" s="48"/>
      <c r="J219" s="28"/>
      <c r="K219" s="28"/>
      <c r="L219" s="28"/>
      <c r="M219" s="19"/>
    </row>
    <row r="220">
      <c r="A220" s="63" t="s">
        <v>181</v>
      </c>
      <c r="B220" s="22">
        <v>44017.0</v>
      </c>
      <c r="C220" s="23" t="s">
        <v>408</v>
      </c>
      <c r="D220" s="26" t="s">
        <v>21</v>
      </c>
      <c r="E220" s="27" t="s">
        <v>359</v>
      </c>
      <c r="F220" s="27" t="s">
        <v>117</v>
      </c>
      <c r="G220" s="27" t="s">
        <v>32</v>
      </c>
      <c r="H220" s="27" t="s">
        <v>35</v>
      </c>
      <c r="I220" s="48"/>
      <c r="J220" s="28"/>
      <c r="K220" s="28"/>
      <c r="L220" s="28"/>
      <c r="M220" s="19"/>
    </row>
    <row r="221">
      <c r="A221" s="20"/>
      <c r="B221" s="22">
        <v>44315.0</v>
      </c>
      <c r="C221" s="23" t="s">
        <v>409</v>
      </c>
      <c r="D221" s="26" t="s">
        <v>21</v>
      </c>
      <c r="E221" s="27" t="s">
        <v>410</v>
      </c>
      <c r="F221" s="27" t="s">
        <v>379</v>
      </c>
      <c r="G221" s="27" t="s">
        <v>32</v>
      </c>
      <c r="H221" s="27" t="s">
        <v>35</v>
      </c>
      <c r="I221" s="48"/>
      <c r="J221" s="28"/>
      <c r="K221" s="28"/>
      <c r="L221" s="28"/>
      <c r="M221" s="19"/>
    </row>
    <row r="222">
      <c r="A222" s="20"/>
      <c r="B222" s="22">
        <v>44315.0</v>
      </c>
      <c r="C222" s="23" t="s">
        <v>411</v>
      </c>
      <c r="D222" s="26" t="s">
        <v>21</v>
      </c>
      <c r="E222" s="27" t="s">
        <v>410</v>
      </c>
      <c r="F222" s="27" t="s">
        <v>379</v>
      </c>
      <c r="G222" s="27" t="s">
        <v>32</v>
      </c>
      <c r="H222" s="27" t="s">
        <v>35</v>
      </c>
      <c r="I222" s="48"/>
      <c r="J222" s="28"/>
      <c r="K222" s="28"/>
      <c r="L222" s="28"/>
      <c r="M222" s="19"/>
    </row>
    <row r="223">
      <c r="A223" s="63" t="s">
        <v>181</v>
      </c>
      <c r="B223" s="22">
        <v>44242.0</v>
      </c>
      <c r="C223" s="23" t="s">
        <v>412</v>
      </c>
      <c r="D223" s="26" t="s">
        <v>21</v>
      </c>
      <c r="E223" s="27" t="s">
        <v>359</v>
      </c>
      <c r="F223" s="27" t="s">
        <v>117</v>
      </c>
      <c r="G223" s="27" t="s">
        <v>32</v>
      </c>
      <c r="H223" s="27" t="s">
        <v>35</v>
      </c>
      <c r="I223" s="48"/>
      <c r="J223" s="28"/>
      <c r="K223" s="28"/>
      <c r="L223" s="28"/>
      <c r="M223" s="19"/>
    </row>
    <row r="224">
      <c r="A224" s="66"/>
      <c r="B224" s="22">
        <v>44549.0</v>
      </c>
      <c r="C224" s="23" t="s">
        <v>413</v>
      </c>
      <c r="D224" s="26" t="s">
        <v>21</v>
      </c>
      <c r="E224" s="27" t="s">
        <v>30</v>
      </c>
      <c r="F224" s="27" t="s">
        <v>117</v>
      </c>
      <c r="G224" s="67" t="s">
        <v>155</v>
      </c>
      <c r="H224" s="27" t="s">
        <v>35</v>
      </c>
      <c r="I224" s="48"/>
      <c r="J224" s="28"/>
      <c r="K224" s="28"/>
      <c r="L224" s="28"/>
      <c r="M224" s="19"/>
    </row>
    <row r="225">
      <c r="A225" s="66"/>
      <c r="B225" s="22">
        <v>44991.0</v>
      </c>
      <c r="C225" s="23" t="s">
        <v>414</v>
      </c>
      <c r="D225" s="26" t="s">
        <v>21</v>
      </c>
      <c r="E225" s="27" t="s">
        <v>30</v>
      </c>
      <c r="F225" s="27" t="s">
        <v>117</v>
      </c>
      <c r="G225" s="67" t="s">
        <v>155</v>
      </c>
      <c r="H225" s="27" t="s">
        <v>35</v>
      </c>
      <c r="I225" s="48"/>
      <c r="J225" s="28"/>
      <c r="K225" s="28"/>
      <c r="L225" s="28"/>
      <c r="M225" s="19"/>
    </row>
    <row r="226">
      <c r="A226" s="20"/>
      <c r="B226" s="22">
        <v>44637.0</v>
      </c>
      <c r="C226" s="23" t="s">
        <v>415</v>
      </c>
      <c r="D226" s="26" t="s">
        <v>21</v>
      </c>
      <c r="E226" s="27" t="s">
        <v>30</v>
      </c>
      <c r="F226" s="27" t="s">
        <v>117</v>
      </c>
      <c r="G226" s="67" t="s">
        <v>155</v>
      </c>
      <c r="H226" s="27" t="s">
        <v>35</v>
      </c>
      <c r="I226" s="48"/>
      <c r="J226" s="28"/>
      <c r="K226" s="28"/>
      <c r="L226" s="28"/>
      <c r="M226" s="19"/>
    </row>
    <row r="227">
      <c r="A227" s="20"/>
      <c r="B227" s="22">
        <v>45184.0</v>
      </c>
      <c r="C227" s="23" t="s">
        <v>416</v>
      </c>
      <c r="D227" s="26" t="s">
        <v>21</v>
      </c>
      <c r="E227" s="27" t="s">
        <v>30</v>
      </c>
      <c r="F227" s="27" t="s">
        <v>31</v>
      </c>
      <c r="G227" s="67" t="s">
        <v>155</v>
      </c>
      <c r="H227" s="27" t="s">
        <v>44</v>
      </c>
      <c r="I227" s="48"/>
      <c r="J227" s="28"/>
      <c r="K227" s="28"/>
      <c r="L227" s="28"/>
      <c r="M227" s="19"/>
    </row>
    <row r="228">
      <c r="A228" s="66"/>
      <c r="B228" s="22">
        <v>45202.0</v>
      </c>
      <c r="C228" s="23" t="s">
        <v>417</v>
      </c>
      <c r="D228" s="26" t="s">
        <v>21</v>
      </c>
      <c r="E228" s="27" t="s">
        <v>376</v>
      </c>
      <c r="F228" s="27" t="s">
        <v>379</v>
      </c>
      <c r="G228" s="27" t="s">
        <v>390</v>
      </c>
      <c r="H228" s="27" t="s">
        <v>44</v>
      </c>
      <c r="I228" s="48"/>
      <c r="J228" s="28"/>
      <c r="K228" s="28"/>
      <c r="L228" s="28"/>
      <c r="M228" s="19"/>
    </row>
    <row r="229">
      <c r="A229" s="20"/>
      <c r="B229" s="22">
        <v>45166.0</v>
      </c>
      <c r="C229" s="23" t="s">
        <v>418</v>
      </c>
      <c r="D229" s="26" t="s">
        <v>21</v>
      </c>
      <c r="E229" s="27" t="s">
        <v>334</v>
      </c>
      <c r="F229" s="27" t="s">
        <v>335</v>
      </c>
      <c r="G229" s="27" t="s">
        <v>359</v>
      </c>
      <c r="H229" s="27" t="s">
        <v>44</v>
      </c>
      <c r="I229" s="48"/>
      <c r="J229" s="28"/>
      <c r="K229" s="28"/>
      <c r="L229" s="28"/>
      <c r="M229" s="19"/>
    </row>
    <row r="230">
      <c r="A230" s="66"/>
      <c r="B230" s="22">
        <v>44961.0</v>
      </c>
      <c r="C230" s="23" t="s">
        <v>419</v>
      </c>
      <c r="D230" s="26" t="s">
        <v>21</v>
      </c>
      <c r="E230" s="27" t="s">
        <v>376</v>
      </c>
      <c r="F230" s="27" t="s">
        <v>379</v>
      </c>
      <c r="G230" s="27" t="s">
        <v>390</v>
      </c>
      <c r="H230" s="27" t="s">
        <v>44</v>
      </c>
      <c r="I230" s="48"/>
      <c r="J230" s="28"/>
      <c r="K230" s="28"/>
      <c r="L230" s="28"/>
      <c r="M230" s="19"/>
    </row>
    <row r="231">
      <c r="A231" s="20"/>
      <c r="B231" s="33">
        <v>44717.0</v>
      </c>
      <c r="C231" s="23" t="s">
        <v>420</v>
      </c>
      <c r="D231" s="26" t="s">
        <v>21</v>
      </c>
      <c r="E231" s="27" t="s">
        <v>392</v>
      </c>
      <c r="F231" s="27" t="s">
        <v>379</v>
      </c>
      <c r="G231" s="27" t="s">
        <v>390</v>
      </c>
      <c r="H231" s="27" t="s">
        <v>44</v>
      </c>
      <c r="I231" s="48"/>
      <c r="J231" s="28"/>
      <c r="K231" s="28"/>
      <c r="L231" s="28"/>
      <c r="M231" s="19"/>
    </row>
    <row r="232">
      <c r="A232" s="66"/>
      <c r="B232" s="22">
        <v>45186.0</v>
      </c>
      <c r="C232" s="23" t="s">
        <v>421</v>
      </c>
      <c r="D232" s="26" t="s">
        <v>21</v>
      </c>
      <c r="E232" s="27" t="s">
        <v>376</v>
      </c>
      <c r="F232" s="27" t="s">
        <v>379</v>
      </c>
      <c r="G232" s="27" t="s">
        <v>390</v>
      </c>
      <c r="H232" s="27" t="s">
        <v>44</v>
      </c>
      <c r="I232" s="48"/>
      <c r="J232" s="28"/>
      <c r="K232" s="28"/>
      <c r="L232" s="28"/>
      <c r="M232" s="19"/>
    </row>
    <row r="233">
      <c r="A233" s="66"/>
      <c r="B233" s="22">
        <v>44704.0</v>
      </c>
      <c r="C233" s="23" t="s">
        <v>422</v>
      </c>
      <c r="D233" s="26" t="s">
        <v>21</v>
      </c>
      <c r="E233" s="27" t="s">
        <v>376</v>
      </c>
      <c r="F233" s="27" t="s">
        <v>117</v>
      </c>
      <c r="G233" s="27" t="s">
        <v>390</v>
      </c>
      <c r="H233" s="27" t="s">
        <v>35</v>
      </c>
      <c r="I233" s="48"/>
      <c r="J233" s="28"/>
      <c r="K233" s="28"/>
      <c r="L233" s="28"/>
      <c r="M233" s="19"/>
    </row>
    <row r="234">
      <c r="A234" s="42" t="s">
        <v>76</v>
      </c>
      <c r="B234" s="22">
        <v>44700.0</v>
      </c>
      <c r="C234" s="23" t="s">
        <v>423</v>
      </c>
      <c r="D234" s="26" t="s">
        <v>21</v>
      </c>
      <c r="E234" s="27" t="s">
        <v>376</v>
      </c>
      <c r="F234" s="27" t="s">
        <v>424</v>
      </c>
      <c r="G234" s="27" t="s">
        <v>390</v>
      </c>
      <c r="H234" s="27" t="s">
        <v>44</v>
      </c>
      <c r="I234" s="23" t="s">
        <v>425</v>
      </c>
      <c r="J234" s="17">
        <v>0.0</v>
      </c>
      <c r="K234" s="17">
        <v>0.0</v>
      </c>
      <c r="L234" s="17" t="s">
        <v>301</v>
      </c>
      <c r="M234" s="19"/>
    </row>
    <row r="235">
      <c r="A235" s="20"/>
      <c r="B235" s="22">
        <v>44934.0</v>
      </c>
      <c r="C235" s="23" t="s">
        <v>426</v>
      </c>
      <c r="D235" s="26" t="s">
        <v>21</v>
      </c>
      <c r="E235" s="27" t="s">
        <v>376</v>
      </c>
      <c r="F235" s="27" t="s">
        <v>379</v>
      </c>
      <c r="G235" s="27" t="s">
        <v>359</v>
      </c>
      <c r="H235" s="27" t="s">
        <v>44</v>
      </c>
      <c r="I235" s="48"/>
      <c r="J235" s="28"/>
      <c r="K235" s="28"/>
      <c r="L235" s="28"/>
      <c r="M235" s="19"/>
    </row>
    <row r="236">
      <c r="A236" s="63" t="s">
        <v>181</v>
      </c>
      <c r="B236" s="22">
        <v>44684.0</v>
      </c>
      <c r="C236" s="23" t="s">
        <v>427</v>
      </c>
      <c r="D236" s="26" t="s">
        <v>21</v>
      </c>
      <c r="E236" s="27" t="s">
        <v>376</v>
      </c>
      <c r="F236" s="27" t="s">
        <v>379</v>
      </c>
      <c r="G236" s="27" t="s">
        <v>390</v>
      </c>
      <c r="H236" s="27" t="s">
        <v>35</v>
      </c>
      <c r="I236" s="48"/>
      <c r="J236" s="28"/>
      <c r="K236" s="28"/>
      <c r="L236" s="28"/>
      <c r="M236" s="19"/>
    </row>
    <row r="237">
      <c r="A237" s="66"/>
      <c r="B237" s="22">
        <v>44677.0</v>
      </c>
      <c r="C237" s="23" t="s">
        <v>428</v>
      </c>
      <c r="D237" s="26" t="s">
        <v>21</v>
      </c>
      <c r="E237" s="27" t="s">
        <v>376</v>
      </c>
      <c r="F237" s="27" t="s">
        <v>379</v>
      </c>
      <c r="G237" s="27" t="s">
        <v>390</v>
      </c>
      <c r="H237" s="27" t="s">
        <v>35</v>
      </c>
      <c r="I237" s="48"/>
      <c r="J237" s="28"/>
      <c r="K237" s="28"/>
      <c r="L237" s="28"/>
      <c r="M237" s="19"/>
    </row>
    <row r="238">
      <c r="A238" s="63" t="s">
        <v>181</v>
      </c>
      <c r="B238" s="22">
        <v>44660.0</v>
      </c>
      <c r="C238" s="23" t="s">
        <v>429</v>
      </c>
      <c r="D238" s="26" t="s">
        <v>21</v>
      </c>
      <c r="E238" s="27" t="s">
        <v>376</v>
      </c>
      <c r="F238" s="27" t="s">
        <v>117</v>
      </c>
      <c r="G238" s="27" t="s">
        <v>390</v>
      </c>
      <c r="H238" s="27" t="s">
        <v>35</v>
      </c>
      <c r="I238" s="48"/>
      <c r="J238" s="28"/>
      <c r="K238" s="28"/>
      <c r="L238" s="28"/>
      <c r="M238" s="19"/>
    </row>
    <row r="239">
      <c r="A239" s="66"/>
      <c r="B239" s="22">
        <v>44632.0</v>
      </c>
      <c r="C239" s="23" t="s">
        <v>430</v>
      </c>
      <c r="D239" s="26" t="s">
        <v>21</v>
      </c>
      <c r="E239" s="27" t="s">
        <v>334</v>
      </c>
      <c r="F239" s="27" t="s">
        <v>335</v>
      </c>
      <c r="G239" s="27" t="s">
        <v>359</v>
      </c>
      <c r="H239" s="27" t="s">
        <v>35</v>
      </c>
      <c r="I239" s="48"/>
      <c r="J239" s="28"/>
      <c r="K239" s="28"/>
      <c r="L239" s="28"/>
      <c r="M239" s="19"/>
    </row>
    <row r="240">
      <c r="A240" s="63" t="s">
        <v>181</v>
      </c>
      <c r="B240" s="33">
        <v>44628.0</v>
      </c>
      <c r="C240" s="23" t="s">
        <v>431</v>
      </c>
      <c r="D240" s="26" t="s">
        <v>21</v>
      </c>
      <c r="E240" s="27" t="s">
        <v>376</v>
      </c>
      <c r="F240" s="27" t="s">
        <v>379</v>
      </c>
      <c r="G240" s="27" t="s">
        <v>390</v>
      </c>
      <c r="H240" s="27" t="s">
        <v>52</v>
      </c>
      <c r="I240" s="48"/>
      <c r="J240" s="28"/>
      <c r="K240" s="28"/>
      <c r="L240" s="28"/>
      <c r="M240" s="19"/>
    </row>
    <row r="241">
      <c r="A241" s="66"/>
      <c r="B241" s="33">
        <v>44624.0</v>
      </c>
      <c r="C241" s="23" t="s">
        <v>432</v>
      </c>
      <c r="D241" s="26" t="s">
        <v>21</v>
      </c>
      <c r="E241" s="27" t="s">
        <v>376</v>
      </c>
      <c r="F241" s="27" t="s">
        <v>379</v>
      </c>
      <c r="G241" s="27" t="s">
        <v>390</v>
      </c>
      <c r="H241" s="27" t="s">
        <v>35</v>
      </c>
      <c r="I241" s="48"/>
      <c r="J241" s="28"/>
      <c r="K241" s="28"/>
      <c r="L241" s="28"/>
      <c r="M241" s="19"/>
    </row>
    <row r="242">
      <c r="A242" s="66"/>
      <c r="B242" s="22">
        <v>44628.0</v>
      </c>
      <c r="C242" s="23" t="s">
        <v>433</v>
      </c>
      <c r="D242" s="26" t="s">
        <v>21</v>
      </c>
      <c r="E242" s="27" t="s">
        <v>376</v>
      </c>
      <c r="F242" s="27" t="s">
        <v>379</v>
      </c>
      <c r="G242" s="27" t="s">
        <v>390</v>
      </c>
      <c r="H242" s="27" t="s">
        <v>35</v>
      </c>
      <c r="I242" s="23"/>
      <c r="J242" s="28"/>
      <c r="K242" s="28"/>
      <c r="L242" s="28"/>
      <c r="M242" s="19"/>
    </row>
    <row r="243">
      <c r="A243" s="42" t="s">
        <v>76</v>
      </c>
      <c r="B243" s="22">
        <v>43459.0</v>
      </c>
      <c r="C243" s="23" t="s">
        <v>434</v>
      </c>
      <c r="D243" s="26" t="s">
        <v>21</v>
      </c>
      <c r="E243" s="27" t="s">
        <v>30</v>
      </c>
      <c r="F243" s="27" t="s">
        <v>31</v>
      </c>
      <c r="G243" s="27" t="s">
        <v>32</v>
      </c>
      <c r="H243" s="27" t="s">
        <v>52</v>
      </c>
      <c r="I243" s="48"/>
      <c r="J243" s="28"/>
      <c r="K243" s="28"/>
      <c r="L243" s="28"/>
      <c r="M243" s="19"/>
    </row>
    <row r="244">
      <c r="A244" s="20"/>
      <c r="B244" s="33">
        <v>43500.0</v>
      </c>
      <c r="C244" s="23" t="s">
        <v>435</v>
      </c>
      <c r="D244" s="26" t="s">
        <v>21</v>
      </c>
      <c r="E244" s="27" t="s">
        <v>334</v>
      </c>
      <c r="F244" s="27" t="s">
        <v>335</v>
      </c>
      <c r="G244" s="27" t="s">
        <v>32</v>
      </c>
      <c r="H244" s="27" t="s">
        <v>52</v>
      </c>
      <c r="I244" s="48"/>
      <c r="J244" s="17" t="s">
        <v>436</v>
      </c>
      <c r="K244" s="28"/>
      <c r="L244" s="28"/>
      <c r="M244" s="19"/>
    </row>
    <row r="245">
      <c r="A245" s="20"/>
      <c r="B245" s="22">
        <v>43507.0</v>
      </c>
      <c r="C245" s="23" t="s">
        <v>437</v>
      </c>
      <c r="D245" s="26" t="s">
        <v>21</v>
      </c>
      <c r="E245" s="27" t="s">
        <v>30</v>
      </c>
      <c r="F245" s="27" t="s">
        <v>117</v>
      </c>
      <c r="G245" s="27" t="s">
        <v>32</v>
      </c>
      <c r="H245" s="27" t="s">
        <v>35</v>
      </c>
      <c r="I245" s="48"/>
      <c r="J245" s="28"/>
      <c r="K245" s="28"/>
      <c r="L245" s="28"/>
      <c r="M245" s="19"/>
    </row>
    <row r="246">
      <c r="A246" s="20"/>
      <c r="B246" s="33">
        <v>43514.0</v>
      </c>
      <c r="C246" s="23" t="s">
        <v>438</v>
      </c>
      <c r="D246" s="26" t="s">
        <v>21</v>
      </c>
      <c r="E246" s="27" t="s">
        <v>30</v>
      </c>
      <c r="F246" s="27" t="s">
        <v>117</v>
      </c>
      <c r="G246" s="27" t="s">
        <v>32</v>
      </c>
      <c r="H246" s="27" t="s">
        <v>52</v>
      </c>
      <c r="I246" s="48"/>
      <c r="J246" s="28"/>
      <c r="K246" s="28"/>
      <c r="L246" s="28"/>
      <c r="M246" s="19"/>
    </row>
    <row r="247">
      <c r="A247" s="20"/>
      <c r="B247" s="33">
        <v>43572.0</v>
      </c>
      <c r="C247" s="23" t="s">
        <v>439</v>
      </c>
      <c r="D247" s="26" t="s">
        <v>21</v>
      </c>
      <c r="E247" s="27" t="s">
        <v>30</v>
      </c>
      <c r="F247" s="27" t="s">
        <v>117</v>
      </c>
      <c r="G247" s="27" t="s">
        <v>32</v>
      </c>
      <c r="H247" s="27" t="s">
        <v>52</v>
      </c>
      <c r="I247" s="48"/>
      <c r="J247" s="28"/>
      <c r="K247" s="28"/>
      <c r="L247" s="28"/>
      <c r="M247" s="19"/>
    </row>
    <row r="248">
      <c r="A248" s="20"/>
      <c r="B248" s="33">
        <v>43597.0</v>
      </c>
      <c r="C248" s="23" t="s">
        <v>440</v>
      </c>
      <c r="D248" s="61" t="s">
        <v>21</v>
      </c>
      <c r="E248" s="27" t="s">
        <v>30</v>
      </c>
      <c r="F248" s="27" t="s">
        <v>117</v>
      </c>
      <c r="G248" s="27" t="s">
        <v>32</v>
      </c>
      <c r="H248" s="27" t="s">
        <v>52</v>
      </c>
      <c r="I248" s="48"/>
      <c r="J248" s="28"/>
      <c r="K248" s="28"/>
      <c r="L248" s="28"/>
      <c r="M248" s="19"/>
    </row>
    <row r="249">
      <c r="A249" s="63" t="s">
        <v>193</v>
      </c>
      <c r="B249" s="33">
        <v>43677.0</v>
      </c>
      <c r="C249" s="23" t="s">
        <v>441</v>
      </c>
      <c r="D249" s="26" t="s">
        <v>21</v>
      </c>
      <c r="E249" s="27" t="s">
        <v>30</v>
      </c>
      <c r="F249" s="27" t="s">
        <v>31</v>
      </c>
      <c r="G249" s="27" t="s">
        <v>32</v>
      </c>
      <c r="H249" s="27" t="s">
        <v>52</v>
      </c>
      <c r="I249" s="48"/>
      <c r="J249" s="28"/>
      <c r="K249" s="28"/>
      <c r="L249" s="28"/>
      <c r="M249" s="19"/>
    </row>
    <row r="250">
      <c r="A250" s="20"/>
      <c r="B250" s="33">
        <v>43747.0</v>
      </c>
      <c r="C250" s="23" t="s">
        <v>442</v>
      </c>
      <c r="D250" s="26" t="s">
        <v>21</v>
      </c>
      <c r="E250" s="27" t="s">
        <v>30</v>
      </c>
      <c r="F250" s="27" t="s">
        <v>117</v>
      </c>
      <c r="G250" s="27" t="s">
        <v>32</v>
      </c>
      <c r="H250" s="27" t="s">
        <v>52</v>
      </c>
      <c r="I250" s="48"/>
      <c r="J250" s="28"/>
      <c r="K250" s="28"/>
      <c r="L250" s="28"/>
      <c r="M250" s="19"/>
    </row>
    <row r="251">
      <c r="A251" s="63" t="s">
        <v>193</v>
      </c>
      <c r="B251" s="22">
        <v>43817.0</v>
      </c>
      <c r="C251" s="23" t="s">
        <v>443</v>
      </c>
      <c r="D251" s="26" t="s">
        <v>21</v>
      </c>
      <c r="E251" s="27" t="s">
        <v>30</v>
      </c>
      <c r="F251" s="27" t="s">
        <v>117</v>
      </c>
      <c r="G251" s="27" t="s">
        <v>32</v>
      </c>
      <c r="H251" s="27" t="s">
        <v>52</v>
      </c>
      <c r="I251" s="48"/>
      <c r="J251" s="28"/>
      <c r="K251" s="28"/>
      <c r="L251" s="28"/>
      <c r="M251" s="19"/>
    </row>
    <row r="252">
      <c r="A252" s="20"/>
      <c r="B252" s="22">
        <v>43783.0</v>
      </c>
      <c r="C252" s="23" t="s">
        <v>444</v>
      </c>
      <c r="D252" s="26" t="s">
        <v>21</v>
      </c>
      <c r="E252" s="27" t="s">
        <v>30</v>
      </c>
      <c r="F252" s="27" t="s">
        <v>117</v>
      </c>
      <c r="G252" s="27" t="s">
        <v>32</v>
      </c>
      <c r="H252" s="27" t="s">
        <v>52</v>
      </c>
      <c r="I252" s="48"/>
      <c r="J252" s="28"/>
      <c r="K252" s="28"/>
      <c r="L252" s="28"/>
      <c r="M252" s="19"/>
    </row>
    <row r="253">
      <c r="A253" s="20"/>
      <c r="B253" s="22">
        <v>43727.0</v>
      </c>
      <c r="C253" s="23" t="s">
        <v>445</v>
      </c>
      <c r="D253" s="26" t="s">
        <v>21</v>
      </c>
      <c r="E253" s="27" t="s">
        <v>30</v>
      </c>
      <c r="F253" s="27" t="s">
        <v>117</v>
      </c>
      <c r="G253" s="27" t="s">
        <v>32</v>
      </c>
      <c r="H253" s="27" t="s">
        <v>52</v>
      </c>
      <c r="I253" s="48"/>
      <c r="J253" s="28"/>
      <c r="K253" s="28"/>
      <c r="L253" s="28"/>
      <c r="M253" s="19"/>
    </row>
    <row r="254">
      <c r="A254" s="42" t="s">
        <v>446</v>
      </c>
      <c r="B254" s="33">
        <v>43731.0</v>
      </c>
      <c r="C254" s="23" t="s">
        <v>447</v>
      </c>
      <c r="D254" s="26" t="s">
        <v>21</v>
      </c>
      <c r="E254" s="27" t="s">
        <v>334</v>
      </c>
      <c r="F254" s="27" t="s">
        <v>335</v>
      </c>
      <c r="G254" s="27" t="s">
        <v>32</v>
      </c>
      <c r="H254" s="27" t="s">
        <v>52</v>
      </c>
      <c r="I254" s="48"/>
      <c r="J254" s="28"/>
      <c r="K254" s="28"/>
      <c r="L254" s="28"/>
      <c r="M254" s="19"/>
    </row>
    <row r="255">
      <c r="A255" s="20"/>
      <c r="B255" s="33">
        <v>43834.0</v>
      </c>
      <c r="C255" s="23" t="s">
        <v>448</v>
      </c>
      <c r="D255" s="26" t="s">
        <v>21</v>
      </c>
      <c r="E255" s="27" t="s">
        <v>334</v>
      </c>
      <c r="F255" s="27" t="s">
        <v>337</v>
      </c>
      <c r="G255" s="27" t="s">
        <v>32</v>
      </c>
      <c r="H255" s="27" t="s">
        <v>52</v>
      </c>
      <c r="I255" s="48"/>
      <c r="J255" s="28"/>
      <c r="K255" s="28"/>
      <c r="L255" s="28"/>
      <c r="M255" s="19"/>
    </row>
    <row r="256">
      <c r="A256" s="20"/>
      <c r="B256" s="22">
        <v>43853.0</v>
      </c>
      <c r="C256" s="23" t="s">
        <v>449</v>
      </c>
      <c r="D256" s="26" t="s">
        <v>21</v>
      </c>
      <c r="E256" s="27" t="s">
        <v>30</v>
      </c>
      <c r="F256" s="27" t="s">
        <v>117</v>
      </c>
      <c r="G256" s="27" t="s">
        <v>32</v>
      </c>
      <c r="H256" s="27" t="s">
        <v>52</v>
      </c>
      <c r="I256" s="48"/>
      <c r="J256" s="28"/>
      <c r="K256" s="28"/>
      <c r="L256" s="28"/>
      <c r="M256" s="19"/>
    </row>
    <row r="257">
      <c r="A257" s="20"/>
      <c r="B257" s="22">
        <v>43984.0</v>
      </c>
      <c r="C257" s="23" t="s">
        <v>450</v>
      </c>
      <c r="D257" s="26" t="s">
        <v>21</v>
      </c>
      <c r="E257" s="27" t="s">
        <v>30</v>
      </c>
      <c r="F257" s="27" t="s">
        <v>117</v>
      </c>
      <c r="G257" s="27" t="s">
        <v>32</v>
      </c>
      <c r="H257" s="27" t="s">
        <v>52</v>
      </c>
      <c r="I257" s="48"/>
      <c r="J257" s="28"/>
      <c r="K257" s="28"/>
      <c r="L257" s="28"/>
      <c r="M257" s="19"/>
    </row>
    <row r="258">
      <c r="A258" s="20"/>
      <c r="B258" s="22">
        <v>44003.0</v>
      </c>
      <c r="C258" s="23" t="s">
        <v>451</v>
      </c>
      <c r="D258" s="26" t="s">
        <v>21</v>
      </c>
      <c r="E258" s="27" t="s">
        <v>30</v>
      </c>
      <c r="F258" s="27" t="s">
        <v>117</v>
      </c>
      <c r="G258" s="27" t="s">
        <v>32</v>
      </c>
      <c r="H258" s="27" t="s">
        <v>52</v>
      </c>
      <c r="I258" s="48"/>
      <c r="J258" s="28"/>
      <c r="K258" s="28"/>
      <c r="L258" s="28"/>
      <c r="M258" s="19"/>
    </row>
    <row r="259">
      <c r="A259" s="20"/>
      <c r="B259" s="33">
        <v>43875.0</v>
      </c>
      <c r="C259" s="23" t="s">
        <v>452</v>
      </c>
      <c r="D259" s="26" t="s">
        <v>21</v>
      </c>
      <c r="E259" s="27" t="s">
        <v>30</v>
      </c>
      <c r="F259" s="27" t="s">
        <v>117</v>
      </c>
      <c r="G259" s="27" t="s">
        <v>191</v>
      </c>
      <c r="H259" s="27" t="s">
        <v>52</v>
      </c>
      <c r="I259" s="48"/>
      <c r="J259" s="28"/>
      <c r="K259" s="28"/>
      <c r="L259" s="28"/>
      <c r="M259" s="19"/>
    </row>
    <row r="260">
      <c r="A260" s="20"/>
      <c r="B260" s="33">
        <v>44074.0</v>
      </c>
      <c r="C260" s="23" t="s">
        <v>453</v>
      </c>
      <c r="D260" s="26" t="s">
        <v>21</v>
      </c>
      <c r="E260" s="27" t="s">
        <v>30</v>
      </c>
      <c r="F260" s="27" t="s">
        <v>117</v>
      </c>
      <c r="G260" s="27" t="s">
        <v>32</v>
      </c>
      <c r="H260" s="27" t="s">
        <v>52</v>
      </c>
      <c r="I260" s="48"/>
      <c r="J260" s="28"/>
      <c r="K260" s="28"/>
      <c r="L260" s="28"/>
      <c r="M260" s="19"/>
    </row>
    <row r="261">
      <c r="A261" s="20"/>
      <c r="B261" s="22">
        <v>44137.0</v>
      </c>
      <c r="C261" s="23" t="s">
        <v>454</v>
      </c>
      <c r="D261" s="26" t="s">
        <v>21</v>
      </c>
      <c r="E261" s="27" t="s">
        <v>30</v>
      </c>
      <c r="F261" s="27" t="s">
        <v>31</v>
      </c>
      <c r="G261" s="27" t="s">
        <v>32</v>
      </c>
      <c r="H261" s="27" t="s">
        <v>52</v>
      </c>
      <c r="I261" s="48"/>
      <c r="J261" s="28"/>
      <c r="K261" s="28"/>
      <c r="L261" s="28"/>
      <c r="M261" s="19"/>
    </row>
    <row r="262">
      <c r="A262" s="66"/>
      <c r="B262" s="22">
        <v>44095.0</v>
      </c>
      <c r="C262" s="23" t="s">
        <v>455</v>
      </c>
      <c r="D262" s="26" t="s">
        <v>21</v>
      </c>
      <c r="E262" s="27" t="s">
        <v>30</v>
      </c>
      <c r="F262" s="27" t="s">
        <v>117</v>
      </c>
      <c r="G262" s="27" t="s">
        <v>32</v>
      </c>
      <c r="H262" s="27" t="s">
        <v>52</v>
      </c>
      <c r="I262" s="48"/>
      <c r="J262" s="28"/>
      <c r="K262" s="28"/>
      <c r="L262" s="28"/>
      <c r="M262" s="19"/>
    </row>
    <row r="263">
      <c r="A263" s="20"/>
      <c r="B263" s="22">
        <v>43880.0</v>
      </c>
      <c r="C263" s="23" t="s">
        <v>456</v>
      </c>
      <c r="D263" s="26" t="s">
        <v>21</v>
      </c>
      <c r="E263" s="27" t="s">
        <v>30</v>
      </c>
      <c r="F263" s="27" t="s">
        <v>117</v>
      </c>
      <c r="G263" s="27" t="s">
        <v>32</v>
      </c>
      <c r="H263" s="27" t="s">
        <v>52</v>
      </c>
      <c r="I263" s="48"/>
      <c r="J263" s="28"/>
      <c r="K263" s="28"/>
      <c r="L263" s="28"/>
      <c r="M263" s="19"/>
    </row>
    <row r="264">
      <c r="A264" s="20"/>
      <c r="B264" s="33">
        <v>43885.0</v>
      </c>
      <c r="C264" s="23" t="s">
        <v>457</v>
      </c>
      <c r="D264" s="26" t="s">
        <v>21</v>
      </c>
      <c r="E264" s="27" t="s">
        <v>334</v>
      </c>
      <c r="F264" s="27" t="s">
        <v>335</v>
      </c>
      <c r="G264" s="27" t="s">
        <v>32</v>
      </c>
      <c r="H264" s="27" t="s">
        <v>52</v>
      </c>
      <c r="I264" s="48"/>
      <c r="J264" s="28"/>
      <c r="K264" s="28"/>
      <c r="L264" s="28"/>
      <c r="M264" s="19"/>
    </row>
    <row r="265">
      <c r="A265" s="20"/>
      <c r="B265" s="22">
        <v>43934.0</v>
      </c>
      <c r="C265" s="23" t="s">
        <v>458</v>
      </c>
      <c r="D265" s="26" t="s">
        <v>21</v>
      </c>
      <c r="E265" s="27" t="s">
        <v>30</v>
      </c>
      <c r="F265" s="27" t="s">
        <v>117</v>
      </c>
      <c r="G265" s="27" t="s">
        <v>32</v>
      </c>
      <c r="H265" s="27" t="s">
        <v>52</v>
      </c>
      <c r="I265" s="48"/>
      <c r="J265" s="28"/>
      <c r="K265" s="28"/>
      <c r="L265" s="28"/>
      <c r="M265" s="19"/>
    </row>
    <row r="266">
      <c r="A266" s="20"/>
      <c r="B266" s="22">
        <v>43974.0</v>
      </c>
      <c r="C266" s="23" t="s">
        <v>459</v>
      </c>
      <c r="D266" s="26" t="s">
        <v>21</v>
      </c>
      <c r="E266" s="27" t="s">
        <v>334</v>
      </c>
      <c r="F266" s="27" t="s">
        <v>337</v>
      </c>
      <c r="G266" s="27" t="s">
        <v>32</v>
      </c>
      <c r="H266" s="27" t="s">
        <v>35</v>
      </c>
      <c r="I266" s="48"/>
      <c r="J266" s="28"/>
      <c r="K266" s="28"/>
      <c r="L266" s="28"/>
      <c r="M266" s="19"/>
    </row>
    <row r="267">
      <c r="A267" s="20"/>
      <c r="B267" s="22">
        <v>44150.0</v>
      </c>
      <c r="C267" s="23" t="s">
        <v>460</v>
      </c>
      <c r="D267" s="26" t="s">
        <v>21</v>
      </c>
      <c r="E267" s="27" t="s">
        <v>334</v>
      </c>
      <c r="F267" s="27" t="s">
        <v>337</v>
      </c>
      <c r="G267" s="27" t="s">
        <v>32</v>
      </c>
      <c r="H267" s="27" t="s">
        <v>52</v>
      </c>
      <c r="I267" s="48"/>
      <c r="J267" s="28"/>
      <c r="K267" s="28"/>
      <c r="L267" s="28"/>
      <c r="M267" s="19"/>
    </row>
    <row r="268">
      <c r="A268" s="20"/>
      <c r="B268" s="33">
        <v>44113.0</v>
      </c>
      <c r="C268" s="23" t="s">
        <v>461</v>
      </c>
      <c r="D268" s="26" t="s">
        <v>21</v>
      </c>
      <c r="E268" s="27" t="s">
        <v>334</v>
      </c>
      <c r="F268" s="27" t="s">
        <v>335</v>
      </c>
      <c r="G268" s="27" t="s">
        <v>32</v>
      </c>
      <c r="H268" s="27" t="s">
        <v>52</v>
      </c>
      <c r="I268" s="48"/>
      <c r="J268" s="28"/>
      <c r="K268" s="28"/>
      <c r="L268" s="28"/>
      <c r="M268" s="19"/>
    </row>
    <row r="269">
      <c r="A269" s="20"/>
      <c r="B269" s="33">
        <v>44133.0</v>
      </c>
      <c r="C269" s="23" t="s">
        <v>462</v>
      </c>
      <c r="D269" s="26" t="s">
        <v>21</v>
      </c>
      <c r="E269" s="27" t="s">
        <v>334</v>
      </c>
      <c r="F269" s="27" t="s">
        <v>335</v>
      </c>
      <c r="G269" s="27" t="s">
        <v>32</v>
      </c>
      <c r="H269" s="27" t="s">
        <v>52</v>
      </c>
      <c r="I269" s="48"/>
      <c r="J269" s="28"/>
      <c r="K269" s="28"/>
      <c r="L269" s="28"/>
      <c r="M269" s="19"/>
    </row>
    <row r="270">
      <c r="A270" s="20"/>
      <c r="B270" s="22">
        <v>43845.0</v>
      </c>
      <c r="C270" s="23" t="s">
        <v>463</v>
      </c>
      <c r="D270" s="26" t="s">
        <v>21</v>
      </c>
      <c r="E270" s="27" t="s">
        <v>30</v>
      </c>
      <c r="F270" s="27" t="s">
        <v>117</v>
      </c>
      <c r="G270" s="27" t="s">
        <v>32</v>
      </c>
      <c r="H270" s="27" t="s">
        <v>52</v>
      </c>
      <c r="I270" s="48"/>
      <c r="J270" s="28"/>
      <c r="K270" s="28"/>
      <c r="L270" s="28"/>
      <c r="M270" s="19"/>
    </row>
    <row r="271">
      <c r="A271" s="66"/>
      <c r="B271" s="22">
        <v>44059.0</v>
      </c>
      <c r="C271" s="23" t="s">
        <v>464</v>
      </c>
      <c r="D271" s="26" t="s">
        <v>21</v>
      </c>
      <c r="E271" s="27" t="s">
        <v>334</v>
      </c>
      <c r="F271" s="27" t="s">
        <v>335</v>
      </c>
      <c r="G271" s="27" t="s">
        <v>32</v>
      </c>
      <c r="H271" s="27" t="s">
        <v>52</v>
      </c>
      <c r="I271" s="48"/>
      <c r="J271" s="28"/>
      <c r="K271" s="28"/>
      <c r="L271" s="28"/>
      <c r="M271" s="19"/>
    </row>
    <row r="272">
      <c r="A272" s="42" t="s">
        <v>446</v>
      </c>
      <c r="B272" s="22">
        <v>44069.0</v>
      </c>
      <c r="C272" s="23" t="s">
        <v>465</v>
      </c>
      <c r="D272" s="26" t="s">
        <v>21</v>
      </c>
      <c r="E272" s="27" t="s">
        <v>30</v>
      </c>
      <c r="F272" s="27" t="s">
        <v>31</v>
      </c>
      <c r="G272" s="27" t="s">
        <v>32</v>
      </c>
      <c r="H272" s="27" t="s">
        <v>52</v>
      </c>
      <c r="I272" s="48"/>
      <c r="J272" s="28"/>
      <c r="K272" s="28"/>
      <c r="L272" s="28"/>
      <c r="M272" s="19"/>
    </row>
    <row r="273">
      <c r="A273" s="20"/>
      <c r="B273" s="22">
        <v>44088.0</v>
      </c>
      <c r="C273" s="23" t="s">
        <v>466</v>
      </c>
      <c r="D273" s="26" t="s">
        <v>21</v>
      </c>
      <c r="E273" s="27" t="s">
        <v>30</v>
      </c>
      <c r="F273" s="27" t="s">
        <v>117</v>
      </c>
      <c r="G273" s="27" t="s">
        <v>32</v>
      </c>
      <c r="H273" s="27" t="s">
        <v>52</v>
      </c>
      <c r="I273" s="48"/>
      <c r="J273" s="28"/>
      <c r="K273" s="28"/>
      <c r="L273" s="28"/>
      <c r="M273" s="19"/>
    </row>
    <row r="274">
      <c r="A274" s="42" t="s">
        <v>446</v>
      </c>
      <c r="B274" s="22">
        <v>44121.0</v>
      </c>
      <c r="C274" s="23" t="s">
        <v>467</v>
      </c>
      <c r="D274" s="26" t="s">
        <v>21</v>
      </c>
      <c r="E274" s="27" t="s">
        <v>30</v>
      </c>
      <c r="F274" s="27" t="s">
        <v>31</v>
      </c>
      <c r="G274" s="27" t="s">
        <v>32</v>
      </c>
      <c r="H274" s="27" t="s">
        <v>52</v>
      </c>
      <c r="I274" s="48"/>
      <c r="J274" s="28"/>
      <c r="K274" s="28"/>
      <c r="L274" s="28"/>
      <c r="M274" s="19"/>
    </row>
    <row r="275">
      <c r="A275" s="20"/>
      <c r="B275" s="22">
        <v>43879.0</v>
      </c>
      <c r="C275" s="23" t="s">
        <v>468</v>
      </c>
      <c r="D275" s="26" t="s">
        <v>21</v>
      </c>
      <c r="E275" s="27" t="s">
        <v>30</v>
      </c>
      <c r="F275" s="27" t="s">
        <v>117</v>
      </c>
      <c r="G275" s="27" t="s">
        <v>32</v>
      </c>
      <c r="H275" s="27" t="s">
        <v>52</v>
      </c>
      <c r="I275" s="48"/>
      <c r="J275" s="28"/>
      <c r="K275" s="28"/>
      <c r="L275" s="28"/>
      <c r="M275" s="19"/>
    </row>
    <row r="276">
      <c r="A276" s="20"/>
      <c r="B276" s="33">
        <v>44099.0</v>
      </c>
      <c r="C276" s="23" t="s">
        <v>469</v>
      </c>
      <c r="D276" s="26" t="s">
        <v>21</v>
      </c>
      <c r="E276" s="27" t="s">
        <v>30</v>
      </c>
      <c r="F276" s="27" t="s">
        <v>117</v>
      </c>
      <c r="G276" s="27" t="s">
        <v>32</v>
      </c>
      <c r="H276" s="27" t="s">
        <v>52</v>
      </c>
      <c r="I276" s="48"/>
      <c r="J276" s="28"/>
      <c r="K276" s="28"/>
      <c r="L276" s="28"/>
      <c r="M276" s="19"/>
    </row>
    <row r="277">
      <c r="A277" s="20"/>
      <c r="B277" s="33">
        <v>44212.0</v>
      </c>
      <c r="C277" s="23" t="s">
        <v>470</v>
      </c>
      <c r="D277" s="26" t="s">
        <v>21</v>
      </c>
      <c r="E277" s="27" t="s">
        <v>30</v>
      </c>
      <c r="F277" s="27" t="s">
        <v>117</v>
      </c>
      <c r="G277" s="27" t="s">
        <v>32</v>
      </c>
      <c r="H277" s="27" t="s">
        <v>52</v>
      </c>
      <c r="I277" s="48"/>
      <c r="J277" s="28"/>
      <c r="K277" s="28"/>
      <c r="L277" s="28"/>
      <c r="M277" s="19"/>
    </row>
    <row r="278">
      <c r="A278" s="42" t="s">
        <v>471</v>
      </c>
      <c r="B278" s="33">
        <v>44240.0</v>
      </c>
      <c r="C278" s="23" t="s">
        <v>472</v>
      </c>
      <c r="D278" s="26" t="s">
        <v>21</v>
      </c>
      <c r="E278" s="27" t="s">
        <v>30</v>
      </c>
      <c r="F278" s="27" t="s">
        <v>117</v>
      </c>
      <c r="G278" s="27" t="s">
        <v>32</v>
      </c>
      <c r="H278" s="27" t="s">
        <v>52</v>
      </c>
      <c r="I278" s="48"/>
      <c r="J278" s="28"/>
      <c r="K278" s="28"/>
      <c r="L278" s="28"/>
      <c r="M278" s="19"/>
    </row>
    <row r="279">
      <c r="A279" s="63" t="s">
        <v>181</v>
      </c>
      <c r="B279" s="22">
        <v>44273.0</v>
      </c>
      <c r="C279" s="23" t="s">
        <v>473</v>
      </c>
      <c r="D279" s="26" t="s">
        <v>21</v>
      </c>
      <c r="E279" s="27" t="s">
        <v>30</v>
      </c>
      <c r="F279" s="27" t="s">
        <v>117</v>
      </c>
      <c r="G279" s="27" t="s">
        <v>32</v>
      </c>
      <c r="H279" s="27" t="s">
        <v>52</v>
      </c>
      <c r="I279" s="48"/>
      <c r="J279" s="28"/>
      <c r="K279" s="28"/>
      <c r="L279" s="28"/>
      <c r="M279" s="19"/>
    </row>
    <row r="280">
      <c r="A280" s="20"/>
      <c r="B280" s="22">
        <v>44316.0</v>
      </c>
      <c r="C280" s="23" t="s">
        <v>474</v>
      </c>
      <c r="D280" s="26" t="s">
        <v>21</v>
      </c>
      <c r="E280" s="27" t="s">
        <v>30</v>
      </c>
      <c r="F280" s="27" t="s">
        <v>117</v>
      </c>
      <c r="G280" s="27" t="s">
        <v>32</v>
      </c>
      <c r="H280" s="27" t="s">
        <v>52</v>
      </c>
      <c r="I280" s="48"/>
      <c r="J280" s="28"/>
      <c r="K280" s="28"/>
      <c r="L280" s="28"/>
      <c r="M280" s="19"/>
    </row>
    <row r="281">
      <c r="A281" s="63" t="s">
        <v>193</v>
      </c>
      <c r="B281" s="33">
        <v>44130.0</v>
      </c>
      <c r="C281" s="23" t="s">
        <v>475</v>
      </c>
      <c r="D281" s="26" t="s">
        <v>21</v>
      </c>
      <c r="E281" s="27" t="s">
        <v>30</v>
      </c>
      <c r="F281" s="27" t="s">
        <v>31</v>
      </c>
      <c r="G281" s="27" t="s">
        <v>32</v>
      </c>
      <c r="H281" s="27" t="s">
        <v>52</v>
      </c>
      <c r="I281" s="48"/>
      <c r="J281" s="28"/>
      <c r="K281" s="28"/>
      <c r="L281" s="28"/>
      <c r="M281" s="19"/>
    </row>
    <row r="282">
      <c r="A282" s="42" t="s">
        <v>446</v>
      </c>
      <c r="B282" s="22">
        <v>44413.0</v>
      </c>
      <c r="C282" s="23" t="s">
        <v>476</v>
      </c>
      <c r="D282" s="26" t="s">
        <v>21</v>
      </c>
      <c r="E282" s="27" t="s">
        <v>30</v>
      </c>
      <c r="F282" s="27" t="s">
        <v>117</v>
      </c>
      <c r="G282" s="27" t="s">
        <v>32</v>
      </c>
      <c r="H282" s="27" t="s">
        <v>52</v>
      </c>
      <c r="I282" s="48"/>
      <c r="J282" s="28"/>
      <c r="K282" s="28"/>
      <c r="L282" s="28"/>
      <c r="M282" s="19"/>
    </row>
    <row r="283">
      <c r="A283" s="42" t="s">
        <v>446</v>
      </c>
      <c r="B283" s="22">
        <v>44227.0</v>
      </c>
      <c r="C283" s="23" t="s">
        <v>477</v>
      </c>
      <c r="D283" s="26" t="s">
        <v>21</v>
      </c>
      <c r="E283" s="27" t="s">
        <v>30</v>
      </c>
      <c r="F283" s="27" t="s">
        <v>31</v>
      </c>
      <c r="G283" s="27" t="s">
        <v>32</v>
      </c>
      <c r="H283" s="27" t="s">
        <v>52</v>
      </c>
      <c r="I283" s="48"/>
      <c r="J283" s="28"/>
      <c r="K283" s="28"/>
      <c r="L283" s="28"/>
      <c r="M283" s="19"/>
    </row>
    <row r="284">
      <c r="A284" s="63" t="s">
        <v>193</v>
      </c>
      <c r="B284" s="33">
        <v>44232.0</v>
      </c>
      <c r="C284" s="23" t="s">
        <v>478</v>
      </c>
      <c r="D284" s="26" t="s">
        <v>21</v>
      </c>
      <c r="E284" s="27" t="s">
        <v>30</v>
      </c>
      <c r="F284" s="27" t="s">
        <v>31</v>
      </c>
      <c r="G284" s="27" t="s">
        <v>32</v>
      </c>
      <c r="H284" s="27" t="s">
        <v>52</v>
      </c>
      <c r="I284" s="48"/>
      <c r="J284" s="28"/>
      <c r="K284" s="28"/>
      <c r="L284" s="28"/>
      <c r="M284" s="19"/>
    </row>
    <row r="285">
      <c r="A285" s="63" t="s">
        <v>181</v>
      </c>
      <c r="B285" s="33">
        <v>44215.0</v>
      </c>
      <c r="C285" s="23" t="s">
        <v>479</v>
      </c>
      <c r="D285" s="26" t="s">
        <v>21</v>
      </c>
      <c r="E285" s="27" t="s">
        <v>30</v>
      </c>
      <c r="F285" s="27" t="s">
        <v>31</v>
      </c>
      <c r="G285" s="27" t="s">
        <v>32</v>
      </c>
      <c r="H285" s="27" t="s">
        <v>52</v>
      </c>
      <c r="I285" s="48"/>
      <c r="J285" s="28"/>
      <c r="K285" s="28"/>
      <c r="L285" s="28"/>
      <c r="M285" s="19"/>
    </row>
    <row r="286">
      <c r="A286" s="63" t="s">
        <v>193</v>
      </c>
      <c r="B286" s="33">
        <v>44279.0</v>
      </c>
      <c r="C286" s="23" t="s">
        <v>480</v>
      </c>
      <c r="D286" s="26" t="s">
        <v>21</v>
      </c>
      <c r="E286" s="27" t="s">
        <v>30</v>
      </c>
      <c r="F286" s="27" t="s">
        <v>117</v>
      </c>
      <c r="G286" s="27" t="s">
        <v>32</v>
      </c>
      <c r="H286" s="27" t="s">
        <v>52</v>
      </c>
      <c r="I286" s="48"/>
      <c r="J286" s="28"/>
      <c r="K286" s="28"/>
      <c r="L286" s="28"/>
      <c r="M286" s="19"/>
    </row>
    <row r="287">
      <c r="A287" s="42" t="s">
        <v>471</v>
      </c>
      <c r="B287" s="33">
        <v>44275.0</v>
      </c>
      <c r="C287" s="23" t="s">
        <v>481</v>
      </c>
      <c r="D287" s="26" t="s">
        <v>21</v>
      </c>
      <c r="E287" s="27" t="s">
        <v>30</v>
      </c>
      <c r="F287" s="27" t="s">
        <v>117</v>
      </c>
      <c r="G287" s="27" t="s">
        <v>32</v>
      </c>
      <c r="H287" s="27" t="s">
        <v>52</v>
      </c>
      <c r="I287" s="48"/>
      <c r="J287" s="28"/>
      <c r="K287" s="28"/>
      <c r="L287" s="28"/>
      <c r="M287" s="19"/>
    </row>
    <row r="288">
      <c r="A288" s="42" t="s">
        <v>446</v>
      </c>
      <c r="B288" s="22">
        <v>44274.0</v>
      </c>
      <c r="C288" s="23" t="s">
        <v>482</v>
      </c>
      <c r="D288" s="26" t="s">
        <v>21</v>
      </c>
      <c r="E288" s="27" t="s">
        <v>30</v>
      </c>
      <c r="F288" s="27" t="s">
        <v>117</v>
      </c>
      <c r="G288" s="27" t="s">
        <v>32</v>
      </c>
      <c r="H288" s="27" t="s">
        <v>52</v>
      </c>
      <c r="I288" s="48"/>
      <c r="J288" s="28"/>
      <c r="K288" s="28"/>
      <c r="L288" s="28"/>
      <c r="M288" s="19"/>
    </row>
    <row r="289">
      <c r="A289" s="63" t="s">
        <v>193</v>
      </c>
      <c r="B289" s="33">
        <v>44242.0</v>
      </c>
      <c r="C289" s="23" t="s">
        <v>483</v>
      </c>
      <c r="D289" s="26" t="s">
        <v>21</v>
      </c>
      <c r="E289" s="27" t="s">
        <v>30</v>
      </c>
      <c r="F289" s="27" t="s">
        <v>117</v>
      </c>
      <c r="G289" s="27" t="s">
        <v>32</v>
      </c>
      <c r="H289" s="27" t="s">
        <v>52</v>
      </c>
      <c r="I289" s="48"/>
      <c r="J289" s="28"/>
      <c r="K289" s="28"/>
      <c r="L289" s="28"/>
      <c r="M289" s="19"/>
    </row>
    <row r="290">
      <c r="A290" s="20"/>
      <c r="B290" s="33">
        <v>44239.0</v>
      </c>
      <c r="C290" s="23" t="s">
        <v>484</v>
      </c>
      <c r="D290" s="26" t="s">
        <v>21</v>
      </c>
      <c r="E290" s="27" t="s">
        <v>30</v>
      </c>
      <c r="F290" s="27" t="s">
        <v>117</v>
      </c>
      <c r="G290" s="27" t="s">
        <v>32</v>
      </c>
      <c r="H290" s="27" t="s">
        <v>52</v>
      </c>
      <c r="I290" s="48"/>
      <c r="J290" s="28"/>
      <c r="K290" s="28"/>
      <c r="L290" s="28"/>
      <c r="M290" s="19"/>
    </row>
    <row r="291">
      <c r="A291" s="42" t="s">
        <v>446</v>
      </c>
      <c r="B291" s="30">
        <v>44185.0</v>
      </c>
      <c r="C291" s="23" t="s">
        <v>485</v>
      </c>
      <c r="D291" s="26" t="s">
        <v>21</v>
      </c>
      <c r="E291" s="27" t="s">
        <v>30</v>
      </c>
      <c r="F291" s="27" t="s">
        <v>31</v>
      </c>
      <c r="G291" s="27" t="s">
        <v>32</v>
      </c>
      <c r="H291" s="27" t="s">
        <v>52</v>
      </c>
      <c r="I291" s="48"/>
      <c r="J291" s="28"/>
      <c r="K291" s="28"/>
      <c r="L291" s="28"/>
      <c r="M291" s="19"/>
    </row>
    <row r="292">
      <c r="A292" s="63" t="s">
        <v>193</v>
      </c>
      <c r="B292" s="22">
        <v>44090.0</v>
      </c>
      <c r="C292" s="23" t="s">
        <v>486</v>
      </c>
      <c r="D292" s="26" t="s">
        <v>21</v>
      </c>
      <c r="E292" s="27" t="s">
        <v>30</v>
      </c>
      <c r="F292" s="27" t="s">
        <v>117</v>
      </c>
      <c r="G292" s="27" t="s">
        <v>32</v>
      </c>
      <c r="H292" s="27" t="s">
        <v>52</v>
      </c>
      <c r="I292" s="48"/>
      <c r="J292" s="28"/>
      <c r="K292" s="28"/>
      <c r="L292" s="28"/>
      <c r="M292" s="19"/>
    </row>
    <row r="293">
      <c r="A293" s="42" t="s">
        <v>446</v>
      </c>
      <c r="B293" s="22">
        <v>44303.0</v>
      </c>
      <c r="C293" s="23" t="s">
        <v>487</v>
      </c>
      <c r="D293" s="26" t="s">
        <v>21</v>
      </c>
      <c r="E293" s="27" t="s">
        <v>334</v>
      </c>
      <c r="F293" s="27" t="s">
        <v>337</v>
      </c>
      <c r="G293" s="27" t="s">
        <v>32</v>
      </c>
      <c r="H293" s="27" t="s">
        <v>52</v>
      </c>
      <c r="I293" s="48"/>
      <c r="J293" s="28"/>
      <c r="K293" s="28"/>
      <c r="L293" s="28"/>
      <c r="M293" s="19"/>
    </row>
    <row r="294">
      <c r="A294" s="42" t="s">
        <v>446</v>
      </c>
      <c r="B294" s="33">
        <v>44245.0</v>
      </c>
      <c r="C294" s="23" t="s">
        <v>488</v>
      </c>
      <c r="D294" s="26" t="s">
        <v>21</v>
      </c>
      <c r="E294" s="27" t="s">
        <v>334</v>
      </c>
      <c r="F294" s="27" t="s">
        <v>335</v>
      </c>
      <c r="G294" s="27" t="s">
        <v>32</v>
      </c>
      <c r="H294" s="27" t="s">
        <v>52</v>
      </c>
      <c r="I294" s="48"/>
      <c r="J294" s="28"/>
      <c r="K294" s="28"/>
      <c r="L294" s="28"/>
      <c r="M294" s="19"/>
    </row>
    <row r="295">
      <c r="A295" s="42" t="s">
        <v>446</v>
      </c>
      <c r="B295" s="22">
        <v>44109.0</v>
      </c>
      <c r="C295" s="23" t="s">
        <v>489</v>
      </c>
      <c r="D295" s="26" t="s">
        <v>21</v>
      </c>
      <c r="E295" s="27" t="s">
        <v>359</v>
      </c>
      <c r="F295" s="27" t="s">
        <v>117</v>
      </c>
      <c r="G295" s="27" t="s">
        <v>32</v>
      </c>
      <c r="H295" s="27" t="s">
        <v>52</v>
      </c>
      <c r="I295" s="48"/>
      <c r="J295" s="28"/>
      <c r="K295" s="28"/>
      <c r="L295" s="28"/>
      <c r="M295" s="19"/>
    </row>
    <row r="296">
      <c r="A296" s="63" t="s">
        <v>181</v>
      </c>
      <c r="B296" s="22">
        <v>44490.0</v>
      </c>
      <c r="C296" s="23" t="s">
        <v>490</v>
      </c>
      <c r="D296" s="26" t="s">
        <v>21</v>
      </c>
      <c r="E296" s="27" t="s">
        <v>30</v>
      </c>
      <c r="F296" s="27" t="s">
        <v>117</v>
      </c>
      <c r="G296" s="27" t="s">
        <v>32</v>
      </c>
      <c r="H296" s="27" t="s">
        <v>52</v>
      </c>
      <c r="I296" s="48"/>
      <c r="J296" s="28"/>
      <c r="K296" s="28"/>
      <c r="L296" s="28"/>
      <c r="M296" s="19"/>
    </row>
    <row r="297">
      <c r="A297" s="20"/>
      <c r="B297" s="22">
        <v>44145.0</v>
      </c>
      <c r="C297" s="23" t="s">
        <v>491</v>
      </c>
      <c r="D297" s="26" t="s">
        <v>21</v>
      </c>
      <c r="E297" s="27" t="s">
        <v>359</v>
      </c>
      <c r="F297" s="27" t="s">
        <v>379</v>
      </c>
      <c r="G297" s="27" t="s">
        <v>32</v>
      </c>
      <c r="H297" s="27" t="s">
        <v>52</v>
      </c>
      <c r="I297" s="48"/>
      <c r="J297" s="28"/>
      <c r="K297" s="28"/>
      <c r="L297" s="28"/>
      <c r="M297" s="19"/>
    </row>
    <row r="298">
      <c r="A298" s="20"/>
      <c r="B298" s="33">
        <v>44312.0</v>
      </c>
      <c r="C298" s="23" t="s">
        <v>492</v>
      </c>
      <c r="D298" s="26" t="s">
        <v>21</v>
      </c>
      <c r="E298" s="27" t="s">
        <v>334</v>
      </c>
      <c r="F298" s="27" t="s">
        <v>335</v>
      </c>
      <c r="G298" s="27" t="s">
        <v>32</v>
      </c>
      <c r="H298" s="27" t="s">
        <v>52</v>
      </c>
      <c r="I298" s="48"/>
      <c r="J298" s="28"/>
      <c r="K298" s="28"/>
      <c r="L298" s="28"/>
      <c r="M298" s="19"/>
    </row>
    <row r="299">
      <c r="A299" s="63" t="s">
        <v>193</v>
      </c>
      <c r="B299" s="33">
        <v>44253.0</v>
      </c>
      <c r="C299" s="23" t="s">
        <v>493</v>
      </c>
      <c r="D299" s="26" t="s">
        <v>21</v>
      </c>
      <c r="E299" s="27" t="s">
        <v>376</v>
      </c>
      <c r="F299" s="27" t="s">
        <v>117</v>
      </c>
      <c r="G299" s="27" t="s">
        <v>191</v>
      </c>
      <c r="H299" s="27" t="s">
        <v>52</v>
      </c>
      <c r="I299" s="48"/>
      <c r="J299" s="28"/>
      <c r="K299" s="28"/>
      <c r="L299" s="28"/>
      <c r="M299" s="19"/>
    </row>
    <row r="300">
      <c r="A300" s="20"/>
      <c r="B300" s="22">
        <v>44475.0</v>
      </c>
      <c r="C300" s="23" t="s">
        <v>494</v>
      </c>
      <c r="D300" s="26" t="s">
        <v>21</v>
      </c>
      <c r="E300" s="27" t="s">
        <v>334</v>
      </c>
      <c r="F300" s="27" t="s">
        <v>335</v>
      </c>
      <c r="G300" s="27" t="s">
        <v>32</v>
      </c>
      <c r="H300" s="27" t="s">
        <v>35</v>
      </c>
      <c r="I300" s="48"/>
      <c r="J300" s="28"/>
      <c r="K300" s="28"/>
      <c r="L300" s="28"/>
      <c r="M300" s="19"/>
    </row>
    <row r="301">
      <c r="A301" s="63" t="s">
        <v>181</v>
      </c>
      <c r="B301" s="22">
        <v>44653.0</v>
      </c>
      <c r="C301" s="23" t="s">
        <v>495</v>
      </c>
      <c r="D301" s="26" t="s">
        <v>21</v>
      </c>
      <c r="E301" s="27" t="s">
        <v>30</v>
      </c>
      <c r="F301" s="27" t="s">
        <v>117</v>
      </c>
      <c r="G301" s="27" t="s">
        <v>32</v>
      </c>
      <c r="H301" s="27" t="s">
        <v>52</v>
      </c>
      <c r="I301" s="48"/>
      <c r="J301" s="28"/>
      <c r="K301" s="28"/>
      <c r="L301" s="28"/>
      <c r="M301" s="19"/>
    </row>
    <row r="302">
      <c r="A302" s="63" t="s">
        <v>181</v>
      </c>
      <c r="B302" s="22">
        <v>44685.0</v>
      </c>
      <c r="C302" s="23" t="s">
        <v>496</v>
      </c>
      <c r="D302" s="26" t="s">
        <v>21</v>
      </c>
      <c r="E302" s="27" t="s">
        <v>334</v>
      </c>
      <c r="F302" s="27" t="s">
        <v>335</v>
      </c>
      <c r="G302" s="27" t="s">
        <v>359</v>
      </c>
      <c r="H302" s="27" t="s">
        <v>52</v>
      </c>
      <c r="I302" s="23"/>
      <c r="J302" s="28"/>
      <c r="K302" s="28"/>
      <c r="L302" s="28"/>
      <c r="M302" s="19"/>
    </row>
    <row r="303">
      <c r="A303" s="20"/>
      <c r="B303" s="22">
        <v>44699.0</v>
      </c>
      <c r="C303" s="23" t="s">
        <v>497</v>
      </c>
      <c r="D303" s="26" t="s">
        <v>21</v>
      </c>
      <c r="E303" s="27" t="s">
        <v>334</v>
      </c>
      <c r="F303" s="27" t="s">
        <v>335</v>
      </c>
      <c r="G303" s="27" t="s">
        <v>32</v>
      </c>
      <c r="H303" s="27" t="s">
        <v>52</v>
      </c>
      <c r="I303" s="23"/>
      <c r="J303" s="28"/>
      <c r="K303" s="28"/>
      <c r="L303" s="28"/>
      <c r="M303" s="19"/>
    </row>
    <row r="304">
      <c r="A304" s="63" t="s">
        <v>181</v>
      </c>
      <c r="B304" s="33">
        <v>44525.0</v>
      </c>
      <c r="C304" s="23" t="s">
        <v>498</v>
      </c>
      <c r="D304" s="26" t="s">
        <v>21</v>
      </c>
      <c r="E304" s="27" t="s">
        <v>30</v>
      </c>
      <c r="F304" s="27" t="s">
        <v>31</v>
      </c>
      <c r="G304" s="27" t="s">
        <v>32</v>
      </c>
      <c r="H304" s="27" t="s">
        <v>52</v>
      </c>
      <c r="I304" s="23"/>
      <c r="J304" s="28"/>
      <c r="K304" s="28"/>
      <c r="L304" s="28"/>
      <c r="M304" s="19"/>
    </row>
    <row r="305">
      <c r="A305" s="42" t="s">
        <v>446</v>
      </c>
      <c r="B305" s="33">
        <v>44474.0</v>
      </c>
      <c r="C305" s="23" t="s">
        <v>499</v>
      </c>
      <c r="D305" s="26" t="s">
        <v>21</v>
      </c>
      <c r="E305" s="27" t="s">
        <v>30</v>
      </c>
      <c r="F305" s="27" t="s">
        <v>31</v>
      </c>
      <c r="G305" s="27" t="s">
        <v>32</v>
      </c>
      <c r="H305" s="27" t="s">
        <v>52</v>
      </c>
      <c r="I305" s="48"/>
      <c r="J305" s="28"/>
      <c r="K305" s="28"/>
      <c r="L305" s="28"/>
      <c r="M305" s="19"/>
    </row>
    <row r="306">
      <c r="A306" s="20"/>
      <c r="B306" s="30">
        <v>44778.0</v>
      </c>
      <c r="C306" s="23" t="s">
        <v>500</v>
      </c>
      <c r="D306" s="26" t="s">
        <v>21</v>
      </c>
      <c r="E306" s="27" t="s">
        <v>30</v>
      </c>
      <c r="F306" s="27" t="s">
        <v>117</v>
      </c>
      <c r="G306" s="27" t="s">
        <v>32</v>
      </c>
      <c r="H306" s="27" t="s">
        <v>52</v>
      </c>
      <c r="I306" s="48"/>
      <c r="J306" s="28"/>
      <c r="K306" s="28"/>
      <c r="L306" s="28"/>
      <c r="M306" s="19"/>
    </row>
    <row r="307">
      <c r="A307" s="42" t="s">
        <v>446</v>
      </c>
      <c r="B307" s="22">
        <v>44336.0</v>
      </c>
      <c r="C307" s="23" t="s">
        <v>501</v>
      </c>
      <c r="D307" s="26" t="s">
        <v>21</v>
      </c>
      <c r="E307" s="27" t="s">
        <v>30</v>
      </c>
      <c r="F307" s="27" t="s">
        <v>31</v>
      </c>
      <c r="G307" s="27" t="s">
        <v>32</v>
      </c>
      <c r="H307" s="27" t="s">
        <v>52</v>
      </c>
      <c r="I307" s="48"/>
      <c r="J307" s="28"/>
      <c r="K307" s="28"/>
      <c r="L307" s="28"/>
      <c r="M307" s="19"/>
    </row>
    <row r="308">
      <c r="A308" s="20"/>
      <c r="B308" s="22">
        <v>45040.0</v>
      </c>
      <c r="C308" s="23" t="s">
        <v>502</v>
      </c>
      <c r="D308" s="26" t="s">
        <v>21</v>
      </c>
      <c r="E308" s="27" t="s">
        <v>30</v>
      </c>
      <c r="F308" s="27" t="s">
        <v>31</v>
      </c>
      <c r="G308" s="27" t="s">
        <v>32</v>
      </c>
      <c r="H308" s="27" t="s">
        <v>44</v>
      </c>
      <c r="I308" s="48"/>
      <c r="J308" s="28"/>
      <c r="K308" s="28"/>
      <c r="L308" s="28"/>
      <c r="M308" s="19"/>
    </row>
    <row r="309">
      <c r="A309" s="20"/>
      <c r="B309" s="22">
        <v>44930.0</v>
      </c>
      <c r="C309" s="23" t="s">
        <v>503</v>
      </c>
      <c r="D309" s="26" t="s">
        <v>21</v>
      </c>
      <c r="E309" s="27" t="s">
        <v>30</v>
      </c>
      <c r="F309" s="27" t="s">
        <v>117</v>
      </c>
      <c r="G309" s="27" t="s">
        <v>32</v>
      </c>
      <c r="H309" s="27" t="s">
        <v>44</v>
      </c>
      <c r="I309" s="48"/>
      <c r="J309" s="28"/>
      <c r="K309" s="28"/>
      <c r="L309" s="28"/>
      <c r="M309" s="19"/>
    </row>
    <row r="310">
      <c r="A310" s="42" t="s">
        <v>76</v>
      </c>
      <c r="B310" s="22">
        <v>44581.0</v>
      </c>
      <c r="C310" s="23" t="s">
        <v>504</v>
      </c>
      <c r="D310" s="26" t="s">
        <v>21</v>
      </c>
      <c r="E310" s="27" t="s">
        <v>30</v>
      </c>
      <c r="F310" s="27" t="s">
        <v>117</v>
      </c>
      <c r="G310" s="27" t="s">
        <v>32</v>
      </c>
      <c r="H310" s="27" t="s">
        <v>52</v>
      </c>
      <c r="I310" s="48"/>
      <c r="J310" s="28"/>
      <c r="K310" s="28"/>
      <c r="L310" s="28"/>
      <c r="M310" s="19"/>
    </row>
    <row r="311">
      <c r="A311" s="20"/>
      <c r="B311" s="22">
        <v>44541.0</v>
      </c>
      <c r="C311" s="23" t="s">
        <v>505</v>
      </c>
      <c r="D311" s="26" t="s">
        <v>21</v>
      </c>
      <c r="E311" s="27" t="s">
        <v>30</v>
      </c>
      <c r="F311" s="27" t="s">
        <v>117</v>
      </c>
      <c r="G311" s="27" t="s">
        <v>32</v>
      </c>
      <c r="H311" s="27" t="s">
        <v>52</v>
      </c>
      <c r="I311" s="23" t="s">
        <v>506</v>
      </c>
      <c r="J311" s="28"/>
      <c r="K311" s="28"/>
      <c r="L311" s="28"/>
      <c r="M311" s="19"/>
    </row>
    <row r="312">
      <c r="A312" s="20"/>
      <c r="B312" s="33">
        <v>44527.0</v>
      </c>
      <c r="C312" s="23" t="s">
        <v>507</v>
      </c>
      <c r="D312" s="26" t="s">
        <v>21</v>
      </c>
      <c r="E312" s="27" t="s">
        <v>30</v>
      </c>
      <c r="F312" s="27" t="s">
        <v>117</v>
      </c>
      <c r="G312" s="27" t="s">
        <v>32</v>
      </c>
      <c r="H312" s="27" t="s">
        <v>52</v>
      </c>
      <c r="I312" s="48"/>
      <c r="J312" s="28"/>
      <c r="K312" s="28"/>
      <c r="L312" s="28"/>
      <c r="M312" s="19"/>
    </row>
    <row r="313">
      <c r="A313" s="63" t="s">
        <v>181</v>
      </c>
      <c r="B313" s="33">
        <v>44527.0</v>
      </c>
      <c r="C313" s="23" t="s">
        <v>508</v>
      </c>
      <c r="D313" s="26" t="s">
        <v>21</v>
      </c>
      <c r="E313" s="27" t="s">
        <v>30</v>
      </c>
      <c r="F313" s="27" t="s">
        <v>117</v>
      </c>
      <c r="G313" s="27" t="s">
        <v>32</v>
      </c>
      <c r="H313" s="27" t="s">
        <v>52</v>
      </c>
      <c r="I313" s="48"/>
      <c r="J313" s="28"/>
      <c r="K313" s="28"/>
      <c r="L313" s="28"/>
      <c r="M313" s="19"/>
    </row>
    <row r="314">
      <c r="A314" s="63" t="s">
        <v>181</v>
      </c>
      <c r="B314" s="33">
        <v>44527.0</v>
      </c>
      <c r="C314" s="23" t="s">
        <v>509</v>
      </c>
      <c r="D314" s="26" t="s">
        <v>21</v>
      </c>
      <c r="E314" s="27" t="s">
        <v>30</v>
      </c>
      <c r="F314" s="27" t="s">
        <v>117</v>
      </c>
      <c r="G314" s="27" t="s">
        <v>32</v>
      </c>
      <c r="H314" s="27" t="s">
        <v>52</v>
      </c>
      <c r="I314" s="48"/>
      <c r="J314" s="28"/>
      <c r="K314" s="28"/>
      <c r="L314" s="28"/>
      <c r="M314" s="19"/>
    </row>
    <row r="315">
      <c r="A315" s="20"/>
      <c r="B315" s="22">
        <v>44204.0</v>
      </c>
      <c r="C315" s="23" t="s">
        <v>510</v>
      </c>
      <c r="D315" s="26" t="s">
        <v>21</v>
      </c>
      <c r="E315" s="27" t="s">
        <v>30</v>
      </c>
      <c r="F315" s="27" t="s">
        <v>117</v>
      </c>
      <c r="G315" s="27" t="s">
        <v>32</v>
      </c>
      <c r="H315" s="27" t="s">
        <v>52</v>
      </c>
      <c r="I315" s="48"/>
      <c r="J315" s="28"/>
      <c r="K315" s="28"/>
      <c r="L315" s="28"/>
      <c r="M315" s="19"/>
    </row>
    <row r="316">
      <c r="A316" s="42" t="s">
        <v>446</v>
      </c>
      <c r="B316" s="22">
        <v>44416.0</v>
      </c>
      <c r="C316" s="23" t="s">
        <v>511</v>
      </c>
      <c r="D316" s="26" t="s">
        <v>21</v>
      </c>
      <c r="E316" s="27" t="s">
        <v>30</v>
      </c>
      <c r="F316" s="27" t="s">
        <v>117</v>
      </c>
      <c r="G316" s="27" t="s">
        <v>32</v>
      </c>
      <c r="H316" s="27" t="s">
        <v>52</v>
      </c>
      <c r="I316" s="48"/>
      <c r="J316" s="28"/>
      <c r="K316" s="28"/>
      <c r="L316" s="28"/>
      <c r="M316" s="19"/>
    </row>
    <row r="317">
      <c r="A317" s="63" t="s">
        <v>181</v>
      </c>
      <c r="B317" s="22">
        <v>44394.0</v>
      </c>
      <c r="C317" s="23" t="s">
        <v>512</v>
      </c>
      <c r="D317" s="26" t="s">
        <v>21</v>
      </c>
      <c r="E317" s="27" t="s">
        <v>30</v>
      </c>
      <c r="F317" s="27" t="s">
        <v>117</v>
      </c>
      <c r="G317" s="27" t="s">
        <v>32</v>
      </c>
      <c r="H317" s="27" t="s">
        <v>52</v>
      </c>
      <c r="I317" s="48"/>
      <c r="J317" s="28"/>
      <c r="K317" s="28"/>
      <c r="L317" s="28"/>
      <c r="M317" s="19"/>
    </row>
    <row r="318">
      <c r="A318" s="42" t="s">
        <v>446</v>
      </c>
      <c r="B318" s="22">
        <v>44388.0</v>
      </c>
      <c r="C318" s="23" t="s">
        <v>513</v>
      </c>
      <c r="D318" s="26" t="s">
        <v>21</v>
      </c>
      <c r="E318" s="27" t="s">
        <v>30</v>
      </c>
      <c r="F318" s="27" t="s">
        <v>117</v>
      </c>
      <c r="G318" s="27" t="s">
        <v>32</v>
      </c>
      <c r="H318" s="27" t="s">
        <v>52</v>
      </c>
      <c r="I318" s="48"/>
      <c r="J318" s="28"/>
      <c r="K318" s="28"/>
      <c r="L318" s="28"/>
      <c r="M318" s="19"/>
    </row>
    <row r="319">
      <c r="A319" s="20"/>
      <c r="B319" s="22">
        <v>44385.0</v>
      </c>
      <c r="C319" s="23" t="s">
        <v>514</v>
      </c>
      <c r="D319" s="26" t="s">
        <v>21</v>
      </c>
      <c r="E319" s="27" t="s">
        <v>30</v>
      </c>
      <c r="F319" s="27" t="s">
        <v>117</v>
      </c>
      <c r="G319" s="27" t="s">
        <v>32</v>
      </c>
      <c r="H319" s="27" t="s">
        <v>52</v>
      </c>
      <c r="I319" s="48"/>
      <c r="J319" s="28"/>
      <c r="K319" s="28"/>
      <c r="L319" s="28"/>
      <c r="M319" s="19"/>
    </row>
    <row r="320">
      <c r="A320" s="20"/>
      <c r="B320" s="22">
        <v>44353.0</v>
      </c>
      <c r="C320" s="23" t="s">
        <v>515</v>
      </c>
      <c r="D320" s="26" t="s">
        <v>21</v>
      </c>
      <c r="E320" s="27" t="s">
        <v>30</v>
      </c>
      <c r="F320" s="27" t="s">
        <v>117</v>
      </c>
      <c r="G320" s="27" t="s">
        <v>32</v>
      </c>
      <c r="H320" s="27" t="s">
        <v>52</v>
      </c>
      <c r="I320" s="48"/>
      <c r="J320" s="28"/>
      <c r="K320" s="28"/>
      <c r="L320" s="28"/>
      <c r="M320" s="19"/>
    </row>
    <row r="321">
      <c r="A321" s="20"/>
      <c r="B321" s="22">
        <v>44343.0</v>
      </c>
      <c r="C321" s="23" t="s">
        <v>516</v>
      </c>
      <c r="D321" s="26" t="s">
        <v>21</v>
      </c>
      <c r="E321" s="27" t="s">
        <v>30</v>
      </c>
      <c r="F321" s="27" t="s">
        <v>117</v>
      </c>
      <c r="G321" s="27" t="s">
        <v>32</v>
      </c>
      <c r="H321" s="27" t="s">
        <v>52</v>
      </c>
      <c r="I321" s="48"/>
      <c r="J321" s="28"/>
      <c r="K321" s="28"/>
      <c r="L321" s="28"/>
      <c r="M321" s="19"/>
    </row>
    <row r="322">
      <c r="A322" s="42" t="s">
        <v>446</v>
      </c>
      <c r="B322" s="22">
        <v>44313.0</v>
      </c>
      <c r="C322" s="23" t="s">
        <v>517</v>
      </c>
      <c r="D322" s="26" t="s">
        <v>21</v>
      </c>
      <c r="E322" s="27" t="s">
        <v>30</v>
      </c>
      <c r="F322" s="27" t="s">
        <v>117</v>
      </c>
      <c r="G322" s="27" t="s">
        <v>32</v>
      </c>
      <c r="H322" s="27" t="s">
        <v>52</v>
      </c>
      <c r="I322" s="48"/>
      <c r="J322" s="28"/>
      <c r="K322" s="28"/>
      <c r="L322" s="28"/>
      <c r="M322" s="19"/>
    </row>
    <row r="323">
      <c r="A323" s="42" t="s">
        <v>76</v>
      </c>
      <c r="B323" s="33">
        <v>44302.0</v>
      </c>
      <c r="C323" s="23" t="s">
        <v>518</v>
      </c>
      <c r="D323" s="26" t="s">
        <v>21</v>
      </c>
      <c r="E323" s="27" t="s">
        <v>30</v>
      </c>
      <c r="F323" s="27" t="s">
        <v>117</v>
      </c>
      <c r="G323" s="27" t="s">
        <v>32</v>
      </c>
      <c r="H323" s="27" t="s">
        <v>52</v>
      </c>
      <c r="I323" s="48"/>
      <c r="J323" s="28"/>
      <c r="K323" s="28"/>
      <c r="L323" s="28"/>
      <c r="M323" s="19"/>
    </row>
    <row r="324">
      <c r="A324" s="20"/>
      <c r="B324" s="33">
        <v>44251.0</v>
      </c>
      <c r="C324" s="23" t="s">
        <v>519</v>
      </c>
      <c r="D324" s="26" t="s">
        <v>21</v>
      </c>
      <c r="E324" s="27" t="s">
        <v>30</v>
      </c>
      <c r="F324" s="27" t="s">
        <v>117</v>
      </c>
      <c r="G324" s="27" t="s">
        <v>32</v>
      </c>
      <c r="H324" s="27" t="s">
        <v>52</v>
      </c>
      <c r="I324" s="48"/>
      <c r="J324" s="28"/>
      <c r="K324" s="28"/>
      <c r="L324" s="28"/>
      <c r="M324" s="19"/>
    </row>
    <row r="325">
      <c r="A325" s="20"/>
      <c r="B325" s="33">
        <v>44246.0</v>
      </c>
      <c r="C325" s="23" t="s">
        <v>520</v>
      </c>
      <c r="D325" s="26" t="s">
        <v>21</v>
      </c>
      <c r="E325" s="27" t="s">
        <v>30</v>
      </c>
      <c r="F325" s="27" t="s">
        <v>117</v>
      </c>
      <c r="G325" s="27" t="s">
        <v>32</v>
      </c>
      <c r="H325" s="27" t="s">
        <v>44</v>
      </c>
      <c r="I325" s="48"/>
      <c r="J325" s="28"/>
      <c r="K325" s="28"/>
      <c r="L325" s="28"/>
      <c r="M325" s="19"/>
    </row>
    <row r="326">
      <c r="A326" s="20"/>
      <c r="B326" s="22">
        <v>44179.0</v>
      </c>
      <c r="C326" s="23" t="s">
        <v>521</v>
      </c>
      <c r="D326" s="26" t="s">
        <v>21</v>
      </c>
      <c r="E326" s="27" t="s">
        <v>30</v>
      </c>
      <c r="F326" s="27" t="s">
        <v>117</v>
      </c>
      <c r="G326" s="27" t="s">
        <v>32</v>
      </c>
      <c r="H326" s="27" t="s">
        <v>52</v>
      </c>
      <c r="I326" s="23" t="s">
        <v>522</v>
      </c>
      <c r="J326" s="28"/>
      <c r="K326" s="28"/>
      <c r="L326" s="28"/>
      <c r="M326" s="19"/>
    </row>
    <row r="327">
      <c r="A327" s="20"/>
      <c r="B327" s="33">
        <v>44172.0</v>
      </c>
      <c r="C327" s="23" t="s">
        <v>523</v>
      </c>
      <c r="D327" s="26" t="s">
        <v>21</v>
      </c>
      <c r="E327" s="27" t="s">
        <v>30</v>
      </c>
      <c r="F327" s="27" t="s">
        <v>117</v>
      </c>
      <c r="G327" s="27" t="s">
        <v>32</v>
      </c>
      <c r="H327" s="27" t="s">
        <v>52</v>
      </c>
      <c r="I327" s="48"/>
      <c r="J327" s="28"/>
      <c r="K327" s="28"/>
      <c r="L327" s="28"/>
      <c r="M327" s="19"/>
    </row>
    <row r="328">
      <c r="A328" s="20"/>
      <c r="B328" s="33">
        <v>44315.0</v>
      </c>
      <c r="C328" s="23" t="s">
        <v>524</v>
      </c>
      <c r="D328" s="26" t="s">
        <v>21</v>
      </c>
      <c r="E328" s="27" t="s">
        <v>410</v>
      </c>
      <c r="F328" s="27" t="s">
        <v>379</v>
      </c>
      <c r="G328" s="27" t="s">
        <v>32</v>
      </c>
      <c r="H328" s="27" t="s">
        <v>52</v>
      </c>
      <c r="I328" s="48"/>
      <c r="J328" s="28"/>
      <c r="K328" s="28"/>
      <c r="L328" s="28"/>
      <c r="M328" s="19"/>
    </row>
    <row r="329">
      <c r="A329" s="42" t="s">
        <v>446</v>
      </c>
      <c r="B329" s="33">
        <v>44496.0</v>
      </c>
      <c r="C329" s="23" t="s">
        <v>525</v>
      </c>
      <c r="D329" s="26" t="s">
        <v>21</v>
      </c>
      <c r="E329" s="27" t="s">
        <v>334</v>
      </c>
      <c r="F329" s="27" t="s">
        <v>337</v>
      </c>
      <c r="G329" s="27" t="s">
        <v>32</v>
      </c>
      <c r="H329" s="27" t="s">
        <v>52</v>
      </c>
      <c r="I329" s="48"/>
      <c r="J329" s="28"/>
      <c r="K329" s="28"/>
      <c r="L329" s="28"/>
      <c r="M329" s="19"/>
    </row>
    <row r="330">
      <c r="A330" s="20"/>
      <c r="B330" s="33">
        <v>44722.0</v>
      </c>
      <c r="C330" s="23" t="s">
        <v>526</v>
      </c>
      <c r="D330" s="26" t="s">
        <v>21</v>
      </c>
      <c r="E330" s="27" t="s">
        <v>30</v>
      </c>
      <c r="F330" s="27" t="s">
        <v>31</v>
      </c>
      <c r="G330" s="27" t="s">
        <v>32</v>
      </c>
      <c r="H330" s="27" t="s">
        <v>52</v>
      </c>
      <c r="I330" s="48"/>
      <c r="J330" s="28"/>
      <c r="K330" s="28"/>
      <c r="L330" s="28"/>
      <c r="M330" s="19"/>
    </row>
    <row r="331">
      <c r="A331" s="20"/>
      <c r="B331" s="22">
        <v>44660.0</v>
      </c>
      <c r="C331" s="23" t="s">
        <v>527</v>
      </c>
      <c r="D331" s="26" t="s">
        <v>21</v>
      </c>
      <c r="E331" s="27" t="s">
        <v>30</v>
      </c>
      <c r="F331" s="27" t="s">
        <v>117</v>
      </c>
      <c r="G331" s="27" t="s">
        <v>32</v>
      </c>
      <c r="H331" s="27" t="s">
        <v>52</v>
      </c>
      <c r="I331" s="23" t="s">
        <v>528</v>
      </c>
      <c r="J331" s="28"/>
      <c r="K331" s="28"/>
      <c r="L331" s="28"/>
      <c r="M331" s="19"/>
    </row>
    <row r="332">
      <c r="A332" s="63" t="s">
        <v>181</v>
      </c>
      <c r="B332" s="33">
        <v>44708.0</v>
      </c>
      <c r="C332" s="23" t="s">
        <v>529</v>
      </c>
      <c r="D332" s="26" t="s">
        <v>21</v>
      </c>
      <c r="E332" s="27" t="s">
        <v>30</v>
      </c>
      <c r="F332" s="27" t="s">
        <v>117</v>
      </c>
      <c r="G332" s="27" t="s">
        <v>32</v>
      </c>
      <c r="H332" s="27" t="s">
        <v>52</v>
      </c>
      <c r="I332" s="48"/>
      <c r="J332" s="28"/>
      <c r="K332" s="28"/>
      <c r="L332" s="28"/>
      <c r="M332" s="19"/>
    </row>
    <row r="333">
      <c r="A333" s="20"/>
      <c r="B333" s="22">
        <v>44660.0</v>
      </c>
      <c r="C333" s="23" t="s">
        <v>530</v>
      </c>
      <c r="D333" s="26" t="s">
        <v>21</v>
      </c>
      <c r="E333" s="27" t="s">
        <v>30</v>
      </c>
      <c r="F333" s="27" t="s">
        <v>117</v>
      </c>
      <c r="G333" s="27" t="s">
        <v>32</v>
      </c>
      <c r="H333" s="27" t="s">
        <v>52</v>
      </c>
      <c r="I333" s="23" t="s">
        <v>531</v>
      </c>
      <c r="J333" s="28"/>
      <c r="K333" s="28"/>
      <c r="L333" s="28"/>
      <c r="M333" s="19"/>
    </row>
    <row r="334">
      <c r="A334" s="66"/>
      <c r="B334" s="22">
        <v>44511.0</v>
      </c>
      <c r="C334" s="23" t="s">
        <v>532</v>
      </c>
      <c r="D334" s="26" t="s">
        <v>21</v>
      </c>
      <c r="E334" s="27" t="s">
        <v>376</v>
      </c>
      <c r="F334" s="27" t="s">
        <v>379</v>
      </c>
      <c r="G334" s="27" t="s">
        <v>390</v>
      </c>
      <c r="H334" s="27" t="s">
        <v>35</v>
      </c>
      <c r="I334" s="23"/>
      <c r="J334" s="28"/>
      <c r="K334" s="28"/>
      <c r="L334" s="28"/>
      <c r="M334" s="19"/>
    </row>
    <row r="335">
      <c r="A335" s="66"/>
      <c r="B335" s="22">
        <v>44511.0</v>
      </c>
      <c r="C335" s="23" t="s">
        <v>533</v>
      </c>
      <c r="D335" s="26" t="s">
        <v>21</v>
      </c>
      <c r="E335" s="27" t="s">
        <v>376</v>
      </c>
      <c r="F335" s="27" t="s">
        <v>379</v>
      </c>
      <c r="G335" s="27" t="s">
        <v>390</v>
      </c>
      <c r="H335" s="27" t="s">
        <v>35</v>
      </c>
      <c r="I335" s="48"/>
      <c r="J335" s="28"/>
      <c r="K335" s="28"/>
      <c r="L335" s="28"/>
      <c r="M335" s="19"/>
    </row>
    <row r="336">
      <c r="A336" s="20"/>
      <c r="B336" s="33">
        <v>44737.0</v>
      </c>
      <c r="C336" s="23" t="s">
        <v>534</v>
      </c>
      <c r="D336" s="26" t="s">
        <v>21</v>
      </c>
      <c r="E336" s="27" t="s">
        <v>30</v>
      </c>
      <c r="F336" s="27" t="s">
        <v>31</v>
      </c>
      <c r="G336" s="27" t="s">
        <v>32</v>
      </c>
      <c r="H336" s="27" t="s">
        <v>52</v>
      </c>
      <c r="I336" s="23" t="s">
        <v>535</v>
      </c>
      <c r="J336" s="28"/>
      <c r="K336" s="28"/>
      <c r="L336" s="28"/>
      <c r="M336" s="19"/>
    </row>
    <row r="337">
      <c r="A337" s="68" t="s">
        <v>76</v>
      </c>
      <c r="B337" s="30">
        <v>44879.0</v>
      </c>
      <c r="C337" s="23" t="s">
        <v>536</v>
      </c>
      <c r="D337" s="26" t="s">
        <v>21</v>
      </c>
      <c r="E337" s="27" t="s">
        <v>30</v>
      </c>
      <c r="F337" s="27" t="s">
        <v>117</v>
      </c>
      <c r="G337" s="27" t="s">
        <v>32</v>
      </c>
      <c r="H337" s="27" t="s">
        <v>44</v>
      </c>
      <c r="I337" s="48"/>
      <c r="J337" s="28"/>
      <c r="K337" s="28"/>
      <c r="L337" s="28"/>
      <c r="M337" s="19"/>
    </row>
    <row r="338">
      <c r="A338" s="42"/>
      <c r="B338" s="30">
        <v>44748.0</v>
      </c>
      <c r="C338" s="69" t="s">
        <v>537</v>
      </c>
      <c r="D338" s="26" t="s">
        <v>21</v>
      </c>
      <c r="E338" s="27" t="s">
        <v>30</v>
      </c>
      <c r="F338" s="27" t="s">
        <v>117</v>
      </c>
      <c r="G338" s="27" t="s">
        <v>32</v>
      </c>
      <c r="H338" s="27" t="s">
        <v>52</v>
      </c>
      <c r="I338" s="48"/>
      <c r="J338" s="28"/>
      <c r="K338" s="28"/>
      <c r="L338" s="17" t="s">
        <v>538</v>
      </c>
      <c r="M338" s="19"/>
    </row>
    <row r="339">
      <c r="A339" s="42"/>
      <c r="B339" s="30">
        <v>44825.0</v>
      </c>
      <c r="C339" s="23" t="s">
        <v>539</v>
      </c>
      <c r="D339" s="26" t="s">
        <v>21</v>
      </c>
      <c r="E339" s="27" t="s">
        <v>30</v>
      </c>
      <c r="F339" s="27" t="s">
        <v>117</v>
      </c>
      <c r="G339" s="27" t="s">
        <v>32</v>
      </c>
      <c r="H339" s="27" t="s">
        <v>44</v>
      </c>
      <c r="I339" s="23" t="s">
        <v>540</v>
      </c>
      <c r="J339" s="28"/>
      <c r="K339" s="28"/>
      <c r="L339" s="28"/>
      <c r="M339" s="19"/>
    </row>
    <row r="340">
      <c r="A340" s="20"/>
      <c r="B340" s="30">
        <v>44930.0</v>
      </c>
      <c r="C340" s="23" t="s">
        <v>541</v>
      </c>
      <c r="D340" s="26" t="s">
        <v>21</v>
      </c>
      <c r="E340" s="27" t="s">
        <v>30</v>
      </c>
      <c r="F340" s="27" t="s">
        <v>31</v>
      </c>
      <c r="G340" s="27" t="s">
        <v>32</v>
      </c>
      <c r="H340" s="27" t="s">
        <v>44</v>
      </c>
      <c r="I340" s="23" t="s">
        <v>542</v>
      </c>
      <c r="J340" s="28"/>
      <c r="K340" s="28"/>
      <c r="L340" s="28"/>
      <c r="M340" s="19"/>
    </row>
    <row r="341">
      <c r="A341" s="20"/>
      <c r="B341" s="33">
        <v>44743.0</v>
      </c>
      <c r="C341" s="23" t="s">
        <v>543</v>
      </c>
      <c r="D341" s="26" t="s">
        <v>21</v>
      </c>
      <c r="E341" s="27" t="s">
        <v>30</v>
      </c>
      <c r="F341" s="27" t="s">
        <v>117</v>
      </c>
      <c r="G341" s="27" t="s">
        <v>32</v>
      </c>
      <c r="H341" s="27" t="s">
        <v>44</v>
      </c>
      <c r="I341" s="23" t="s">
        <v>544</v>
      </c>
      <c r="J341" s="28"/>
      <c r="K341" s="28"/>
      <c r="L341" s="28"/>
      <c r="M341" s="19"/>
    </row>
    <row r="342">
      <c r="A342" s="63" t="s">
        <v>181</v>
      </c>
      <c r="B342" s="22">
        <v>45219.0</v>
      </c>
      <c r="C342" s="23" t="s">
        <v>545</v>
      </c>
      <c r="D342" s="26" t="s">
        <v>21</v>
      </c>
      <c r="E342" s="27" t="s">
        <v>30</v>
      </c>
      <c r="F342" s="27" t="s">
        <v>31</v>
      </c>
      <c r="G342" s="27" t="s">
        <v>32</v>
      </c>
      <c r="H342" s="27" t="s">
        <v>44</v>
      </c>
      <c r="I342" s="48"/>
      <c r="J342" s="28"/>
      <c r="K342" s="70"/>
      <c r="L342" s="28"/>
      <c r="M342" s="19"/>
    </row>
    <row r="343">
      <c r="A343" s="20"/>
      <c r="B343" s="22">
        <v>44929.0</v>
      </c>
      <c r="C343" s="23" t="s">
        <v>546</v>
      </c>
      <c r="D343" s="26" t="s">
        <v>21</v>
      </c>
      <c r="E343" s="27" t="s">
        <v>30</v>
      </c>
      <c r="F343" s="27" t="s">
        <v>31</v>
      </c>
      <c r="G343" s="27" t="s">
        <v>32</v>
      </c>
      <c r="H343" s="27" t="s">
        <v>44</v>
      </c>
      <c r="I343" s="48"/>
      <c r="J343" s="28"/>
      <c r="K343" s="28"/>
      <c r="L343" s="28"/>
      <c r="M343" s="19"/>
    </row>
    <row r="344">
      <c r="A344" s="42"/>
      <c r="B344" s="22">
        <v>44992.0</v>
      </c>
      <c r="C344" s="23" t="s">
        <v>547</v>
      </c>
      <c r="D344" s="26" t="s">
        <v>21</v>
      </c>
      <c r="E344" s="27" t="s">
        <v>334</v>
      </c>
      <c r="F344" s="27" t="s">
        <v>335</v>
      </c>
      <c r="G344" s="27" t="s">
        <v>359</v>
      </c>
      <c r="H344" s="27" t="s">
        <v>44</v>
      </c>
      <c r="I344" s="23" t="s">
        <v>548</v>
      </c>
      <c r="J344" s="28"/>
      <c r="K344" s="28"/>
      <c r="L344" s="28"/>
      <c r="M344" s="19"/>
    </row>
    <row r="345">
      <c r="A345" s="42"/>
      <c r="B345" s="22">
        <v>45225.0</v>
      </c>
      <c r="C345" s="23" t="s">
        <v>549</v>
      </c>
      <c r="D345" s="26" t="s">
        <v>21</v>
      </c>
      <c r="E345" s="27" t="s">
        <v>30</v>
      </c>
      <c r="F345" s="27" t="s">
        <v>117</v>
      </c>
      <c r="G345" s="27" t="s">
        <v>32</v>
      </c>
      <c r="H345" s="27" t="s">
        <v>44</v>
      </c>
      <c r="I345" s="23" t="s">
        <v>550</v>
      </c>
      <c r="J345" s="28"/>
      <c r="K345" s="28"/>
      <c r="L345" s="28"/>
      <c r="M345" s="19"/>
    </row>
    <row r="346">
      <c r="A346" s="63" t="s">
        <v>181</v>
      </c>
      <c r="B346" s="71">
        <v>44749.0</v>
      </c>
      <c r="C346" s="23" t="s">
        <v>551</v>
      </c>
      <c r="D346" s="26" t="s">
        <v>21</v>
      </c>
      <c r="E346" s="27" t="s">
        <v>30</v>
      </c>
      <c r="F346" s="27" t="s">
        <v>117</v>
      </c>
      <c r="G346" s="27" t="s">
        <v>32</v>
      </c>
      <c r="H346" s="27" t="s">
        <v>44</v>
      </c>
      <c r="I346" s="48"/>
      <c r="J346" s="28"/>
      <c r="K346" s="28"/>
      <c r="L346" s="28"/>
      <c r="M346" s="19"/>
    </row>
    <row r="347">
      <c r="A347" s="68" t="s">
        <v>76</v>
      </c>
      <c r="B347" s="22">
        <v>44832.0</v>
      </c>
      <c r="C347" s="23" t="s">
        <v>552</v>
      </c>
      <c r="D347" s="26" t="s">
        <v>21</v>
      </c>
      <c r="E347" s="27" t="s">
        <v>359</v>
      </c>
      <c r="F347" s="27" t="s">
        <v>117</v>
      </c>
      <c r="G347" s="27" t="s">
        <v>390</v>
      </c>
      <c r="H347" s="27" t="s">
        <v>44</v>
      </c>
      <c r="I347" s="48"/>
      <c r="J347" s="28"/>
      <c r="K347" s="28"/>
      <c r="L347" s="28"/>
      <c r="M347" s="19"/>
    </row>
    <row r="348">
      <c r="A348" s="20"/>
      <c r="B348" s="22">
        <v>45180.0</v>
      </c>
      <c r="C348" s="23" t="s">
        <v>553</v>
      </c>
      <c r="D348" s="26" t="s">
        <v>21</v>
      </c>
      <c r="E348" s="27" t="s">
        <v>30</v>
      </c>
      <c r="F348" s="27" t="s">
        <v>117</v>
      </c>
      <c r="G348" s="27" t="s">
        <v>32</v>
      </c>
      <c r="H348" s="27" t="s">
        <v>44</v>
      </c>
      <c r="I348" s="23" t="s">
        <v>554</v>
      </c>
      <c r="J348" s="28"/>
      <c r="K348" s="28"/>
      <c r="L348" s="28"/>
      <c r="M348" s="19"/>
    </row>
    <row r="349">
      <c r="A349" s="42"/>
      <c r="B349" s="22">
        <v>45182.0</v>
      </c>
      <c r="C349" s="23" t="s">
        <v>555</v>
      </c>
      <c r="D349" s="26" t="s">
        <v>21</v>
      </c>
      <c r="E349" s="27" t="s">
        <v>30</v>
      </c>
      <c r="F349" s="27" t="s">
        <v>31</v>
      </c>
      <c r="G349" s="27" t="s">
        <v>32</v>
      </c>
      <c r="H349" s="27" t="s">
        <v>44</v>
      </c>
      <c r="I349" s="23" t="s">
        <v>556</v>
      </c>
      <c r="J349" s="28"/>
      <c r="K349" s="28"/>
      <c r="L349" s="28"/>
      <c r="M349" s="19"/>
    </row>
    <row r="350">
      <c r="A350" s="66"/>
      <c r="B350" s="71">
        <v>44753.0</v>
      </c>
      <c r="C350" s="23" t="s">
        <v>557</v>
      </c>
      <c r="D350" s="26" t="s">
        <v>21</v>
      </c>
      <c r="E350" s="27" t="s">
        <v>30</v>
      </c>
      <c r="F350" s="27" t="s">
        <v>117</v>
      </c>
      <c r="G350" s="27" t="s">
        <v>32</v>
      </c>
      <c r="H350" s="27" t="s">
        <v>52</v>
      </c>
      <c r="I350" s="48"/>
      <c r="J350" s="28"/>
      <c r="K350" s="28"/>
      <c r="L350" s="28"/>
      <c r="M350" s="19"/>
    </row>
    <row r="351">
      <c r="A351" s="42"/>
      <c r="B351" s="22">
        <v>45217.0</v>
      </c>
      <c r="C351" s="23" t="s">
        <v>558</v>
      </c>
      <c r="D351" s="61" t="s">
        <v>21</v>
      </c>
      <c r="E351" s="27" t="s">
        <v>30</v>
      </c>
      <c r="F351" s="27" t="s">
        <v>31</v>
      </c>
      <c r="G351" s="27" t="s">
        <v>32</v>
      </c>
      <c r="H351" s="27" t="s">
        <v>44</v>
      </c>
      <c r="I351" s="23" t="s">
        <v>559</v>
      </c>
      <c r="J351" s="28"/>
      <c r="K351" s="28"/>
      <c r="L351" s="28"/>
      <c r="M351" s="19"/>
    </row>
    <row r="352">
      <c r="A352" s="66"/>
      <c r="B352" s="22">
        <v>44753.0</v>
      </c>
      <c r="C352" s="23" t="s">
        <v>560</v>
      </c>
      <c r="D352" s="26" t="s">
        <v>21</v>
      </c>
      <c r="E352" s="27" t="s">
        <v>334</v>
      </c>
      <c r="F352" s="27" t="s">
        <v>335</v>
      </c>
      <c r="G352" s="27" t="s">
        <v>32</v>
      </c>
      <c r="H352" s="27" t="s">
        <v>35</v>
      </c>
      <c r="I352" s="48"/>
      <c r="J352" s="28"/>
      <c r="K352" s="28"/>
      <c r="L352" s="28"/>
      <c r="M352" s="19"/>
    </row>
    <row r="353">
      <c r="A353" s="66"/>
      <c r="B353" s="22">
        <v>45150.0</v>
      </c>
      <c r="C353" s="23" t="s">
        <v>561</v>
      </c>
      <c r="D353" s="26" t="s">
        <v>21</v>
      </c>
      <c r="E353" s="27" t="s">
        <v>30</v>
      </c>
      <c r="F353" s="27" t="s">
        <v>31</v>
      </c>
      <c r="G353" s="27" t="s">
        <v>32</v>
      </c>
      <c r="H353" s="27" t="s">
        <v>44</v>
      </c>
      <c r="I353" s="48"/>
      <c r="J353" s="28"/>
      <c r="K353" s="28"/>
      <c r="L353" s="28"/>
      <c r="M353" s="19"/>
    </row>
    <row r="354">
      <c r="A354" s="66"/>
      <c r="B354" s="22">
        <v>45244.0</v>
      </c>
      <c r="C354" s="23" t="s">
        <v>562</v>
      </c>
      <c r="D354" s="26" t="s">
        <v>21</v>
      </c>
      <c r="E354" s="27" t="s">
        <v>30</v>
      </c>
      <c r="F354" s="27" t="s">
        <v>117</v>
      </c>
      <c r="G354" s="27" t="s">
        <v>32</v>
      </c>
      <c r="H354" s="27" t="s">
        <v>44</v>
      </c>
      <c r="I354" s="48"/>
      <c r="J354" s="28"/>
      <c r="K354" s="28"/>
      <c r="L354" s="28"/>
      <c r="M354" s="19"/>
    </row>
    <row r="355">
      <c r="A355" s="66"/>
      <c r="B355" s="22">
        <v>44756.0</v>
      </c>
      <c r="C355" s="23" t="s">
        <v>563</v>
      </c>
      <c r="D355" s="26" t="s">
        <v>21</v>
      </c>
      <c r="E355" s="27" t="s">
        <v>30</v>
      </c>
      <c r="F355" s="27" t="s">
        <v>117</v>
      </c>
      <c r="G355" s="27" t="s">
        <v>32</v>
      </c>
      <c r="H355" s="27" t="s">
        <v>35</v>
      </c>
      <c r="I355" s="48"/>
      <c r="J355" s="28"/>
      <c r="K355" s="28"/>
      <c r="L355" s="28"/>
      <c r="M355" s="19"/>
    </row>
    <row r="356">
      <c r="A356" s="27"/>
      <c r="B356" s="22">
        <v>44829.0</v>
      </c>
      <c r="C356" s="23" t="s">
        <v>564</v>
      </c>
      <c r="D356" s="26" t="s">
        <v>21</v>
      </c>
      <c r="E356" s="27" t="s">
        <v>30</v>
      </c>
      <c r="F356" s="27" t="s">
        <v>117</v>
      </c>
      <c r="G356" s="27" t="s">
        <v>32</v>
      </c>
      <c r="H356" s="27" t="s">
        <v>52</v>
      </c>
      <c r="I356" s="48"/>
      <c r="J356" s="28"/>
      <c r="K356" s="28"/>
      <c r="L356" s="28"/>
      <c r="M356" s="19"/>
    </row>
    <row r="357">
      <c r="A357" s="42"/>
      <c r="B357" s="22">
        <v>45166.0</v>
      </c>
      <c r="C357" s="23" t="s">
        <v>565</v>
      </c>
      <c r="D357" s="26" t="s">
        <v>21</v>
      </c>
      <c r="E357" s="27" t="s">
        <v>30</v>
      </c>
      <c r="F357" s="27" t="s">
        <v>117</v>
      </c>
      <c r="G357" s="27" t="s">
        <v>32</v>
      </c>
      <c r="H357" s="27" t="s">
        <v>44</v>
      </c>
      <c r="I357" s="48"/>
      <c r="J357" s="28"/>
      <c r="K357" s="28"/>
      <c r="L357" s="28"/>
      <c r="M357" s="19"/>
    </row>
    <row r="358">
      <c r="A358" s="42"/>
      <c r="B358" s="71">
        <v>44763.0</v>
      </c>
      <c r="C358" s="23" t="s">
        <v>566</v>
      </c>
      <c r="D358" s="26" t="s">
        <v>21</v>
      </c>
      <c r="E358" s="27" t="s">
        <v>334</v>
      </c>
      <c r="F358" s="27" t="s">
        <v>335</v>
      </c>
      <c r="G358" s="27" t="s">
        <v>32</v>
      </c>
      <c r="H358" s="27" t="s">
        <v>52</v>
      </c>
      <c r="I358" s="48"/>
      <c r="J358" s="28"/>
      <c r="K358" s="28"/>
      <c r="L358" s="17" t="s">
        <v>567</v>
      </c>
      <c r="M358" s="19"/>
    </row>
    <row r="359">
      <c r="A359" s="66"/>
      <c r="B359" s="22">
        <v>44767.0</v>
      </c>
      <c r="C359" s="23" t="s">
        <v>568</v>
      </c>
      <c r="D359" s="26" t="s">
        <v>21</v>
      </c>
      <c r="E359" s="27" t="s">
        <v>376</v>
      </c>
      <c r="F359" s="27" t="s">
        <v>379</v>
      </c>
      <c r="G359" s="27" t="s">
        <v>390</v>
      </c>
      <c r="H359" s="27" t="s">
        <v>35</v>
      </c>
      <c r="I359" s="48"/>
      <c r="J359" s="28"/>
      <c r="K359" s="28"/>
      <c r="L359" s="28"/>
      <c r="M359" s="19"/>
    </row>
    <row r="360">
      <c r="A360" s="66"/>
      <c r="B360" s="22">
        <v>45240.0</v>
      </c>
      <c r="C360" s="23" t="s">
        <v>569</v>
      </c>
      <c r="D360" s="26" t="s">
        <v>21</v>
      </c>
      <c r="E360" s="27" t="s">
        <v>334</v>
      </c>
      <c r="F360" s="27" t="s">
        <v>335</v>
      </c>
      <c r="G360" s="27" t="s">
        <v>32</v>
      </c>
      <c r="H360" s="27" t="s">
        <v>44</v>
      </c>
      <c r="I360" s="48"/>
      <c r="J360" s="28"/>
      <c r="K360" s="28"/>
      <c r="L360" s="28"/>
      <c r="M360" s="19"/>
    </row>
    <row r="361">
      <c r="A361" s="20"/>
      <c r="B361" s="22">
        <v>44770.0</v>
      </c>
      <c r="C361" s="23" t="s">
        <v>570</v>
      </c>
      <c r="D361" s="26" t="s">
        <v>21</v>
      </c>
      <c r="E361" s="27" t="s">
        <v>334</v>
      </c>
      <c r="F361" s="27" t="s">
        <v>335</v>
      </c>
      <c r="G361" s="27" t="s">
        <v>32</v>
      </c>
      <c r="H361" s="27" t="s">
        <v>35</v>
      </c>
      <c r="I361" s="48"/>
      <c r="J361" s="28"/>
      <c r="K361" s="28"/>
      <c r="L361" s="28"/>
      <c r="M361" s="19"/>
    </row>
    <row r="362">
      <c r="A362" s="20"/>
      <c r="B362" s="22">
        <v>44868.0</v>
      </c>
      <c r="C362" s="23" t="s">
        <v>571</v>
      </c>
      <c r="D362" s="26" t="s">
        <v>21</v>
      </c>
      <c r="E362" s="27" t="s">
        <v>334</v>
      </c>
      <c r="F362" s="27" t="s">
        <v>335</v>
      </c>
      <c r="G362" s="27" t="s">
        <v>32</v>
      </c>
      <c r="H362" s="27" t="s">
        <v>52</v>
      </c>
      <c r="I362" s="48"/>
      <c r="J362" s="28"/>
      <c r="K362" s="28"/>
      <c r="L362" s="28"/>
      <c r="M362" s="19"/>
    </row>
    <row r="363">
      <c r="A363" s="42"/>
      <c r="B363" s="22">
        <v>45009.0</v>
      </c>
      <c r="C363" s="23" t="s">
        <v>572</v>
      </c>
      <c r="D363" s="61" t="s">
        <v>21</v>
      </c>
      <c r="E363" s="27" t="s">
        <v>392</v>
      </c>
      <c r="F363" s="27" t="s">
        <v>31</v>
      </c>
      <c r="G363" s="27" t="s">
        <v>390</v>
      </c>
      <c r="H363" s="27" t="s">
        <v>44</v>
      </c>
      <c r="I363" s="48"/>
      <c r="J363" s="28"/>
      <c r="K363" s="28"/>
      <c r="L363" s="28"/>
      <c r="M363" s="19"/>
    </row>
    <row r="364">
      <c r="A364" s="27"/>
      <c r="B364" s="22">
        <v>45080.0</v>
      </c>
      <c r="C364" s="23" t="s">
        <v>573</v>
      </c>
      <c r="D364" s="61" t="s">
        <v>21</v>
      </c>
      <c r="E364" s="27" t="s">
        <v>30</v>
      </c>
      <c r="F364" s="27" t="s">
        <v>117</v>
      </c>
      <c r="G364" s="27" t="s">
        <v>32</v>
      </c>
      <c r="H364" s="27" t="s">
        <v>44</v>
      </c>
      <c r="I364" s="48"/>
      <c r="J364" s="28"/>
      <c r="K364" s="28"/>
      <c r="L364" s="28"/>
      <c r="M364" s="19"/>
    </row>
    <row r="365">
      <c r="A365" s="42"/>
      <c r="B365" s="22">
        <v>44934.0</v>
      </c>
      <c r="C365" s="23" t="s">
        <v>574</v>
      </c>
      <c r="D365" s="61" t="s">
        <v>21</v>
      </c>
      <c r="E365" s="27" t="s">
        <v>376</v>
      </c>
      <c r="F365" s="27" t="s">
        <v>424</v>
      </c>
      <c r="G365" s="27" t="s">
        <v>390</v>
      </c>
      <c r="H365" s="27" t="s">
        <v>44</v>
      </c>
      <c r="I365" s="48"/>
      <c r="J365" s="28"/>
      <c r="K365" s="28"/>
      <c r="L365" s="28"/>
      <c r="M365" s="19"/>
    </row>
    <row r="366">
      <c r="A366" s="42"/>
      <c r="B366" s="71">
        <v>44774.0</v>
      </c>
      <c r="C366" s="23" t="s">
        <v>575</v>
      </c>
      <c r="D366" s="61" t="s">
        <v>21</v>
      </c>
      <c r="E366" s="27" t="s">
        <v>30</v>
      </c>
      <c r="F366" s="27" t="s">
        <v>117</v>
      </c>
      <c r="G366" s="27" t="s">
        <v>32</v>
      </c>
      <c r="H366" s="27" t="s">
        <v>52</v>
      </c>
      <c r="I366" s="48"/>
      <c r="J366" s="28"/>
      <c r="K366" s="28"/>
      <c r="L366" s="28"/>
      <c r="M366" s="19"/>
    </row>
    <row r="367">
      <c r="A367" s="66"/>
      <c r="B367" s="22">
        <v>45202.0</v>
      </c>
      <c r="C367" s="23" t="s">
        <v>576</v>
      </c>
      <c r="D367" s="61" t="s">
        <v>21</v>
      </c>
      <c r="E367" s="27" t="s">
        <v>30</v>
      </c>
      <c r="F367" s="27" t="s">
        <v>117</v>
      </c>
      <c r="G367" s="27" t="s">
        <v>32</v>
      </c>
      <c r="H367" s="27" t="s">
        <v>44</v>
      </c>
      <c r="I367" s="48"/>
      <c r="J367" s="28"/>
      <c r="K367" s="28"/>
      <c r="L367" s="28"/>
      <c r="M367" s="19"/>
    </row>
    <row r="368">
      <c r="A368" s="27">
        <v>1.0</v>
      </c>
      <c r="B368" s="22">
        <v>45047.0</v>
      </c>
      <c r="C368" s="23" t="s">
        <v>577</v>
      </c>
      <c r="D368" s="61" t="s">
        <v>21</v>
      </c>
      <c r="E368" s="27" t="s">
        <v>30</v>
      </c>
      <c r="F368" s="27" t="s">
        <v>117</v>
      </c>
      <c r="G368" s="27" t="s">
        <v>32</v>
      </c>
      <c r="H368" s="27" t="s">
        <v>44</v>
      </c>
      <c r="I368" s="48"/>
      <c r="J368" s="28"/>
      <c r="K368" s="28"/>
      <c r="L368" s="28"/>
      <c r="M368" s="19"/>
    </row>
    <row r="369">
      <c r="A369" s="20"/>
      <c r="B369" s="71">
        <v>44780.0</v>
      </c>
      <c r="C369" s="23" t="s">
        <v>578</v>
      </c>
      <c r="D369" s="61" t="s">
        <v>21</v>
      </c>
      <c r="E369" s="72" t="s">
        <v>376</v>
      </c>
      <c r="F369" s="27" t="s">
        <v>383</v>
      </c>
      <c r="G369" s="27" t="s">
        <v>32</v>
      </c>
      <c r="H369" s="73" t="s">
        <v>35</v>
      </c>
      <c r="I369" s="48"/>
      <c r="J369" s="28"/>
      <c r="K369" s="28"/>
      <c r="L369" s="28"/>
      <c r="M369" s="19"/>
    </row>
    <row r="370">
      <c r="A370" s="27">
        <v>2.0</v>
      </c>
      <c r="B370" s="71">
        <v>44781.0</v>
      </c>
      <c r="C370" s="23" t="s">
        <v>579</v>
      </c>
      <c r="D370" s="61" t="s">
        <v>21</v>
      </c>
      <c r="E370" s="27" t="s">
        <v>30</v>
      </c>
      <c r="F370" s="27" t="s">
        <v>117</v>
      </c>
      <c r="G370" s="27" t="s">
        <v>155</v>
      </c>
      <c r="H370" s="27" t="s">
        <v>52</v>
      </c>
      <c r="I370" s="48"/>
      <c r="J370" s="28"/>
      <c r="K370" s="28"/>
      <c r="L370" s="28"/>
      <c r="M370" s="19"/>
    </row>
    <row r="371">
      <c r="A371" s="66"/>
      <c r="B371" s="22">
        <v>44784.0</v>
      </c>
      <c r="C371" s="23" t="s">
        <v>580</v>
      </c>
      <c r="D371" s="61" t="s">
        <v>21</v>
      </c>
      <c r="E371" s="27" t="s">
        <v>30</v>
      </c>
      <c r="F371" s="27" t="s">
        <v>117</v>
      </c>
      <c r="G371" s="27" t="s">
        <v>32</v>
      </c>
      <c r="H371" s="27" t="s">
        <v>52</v>
      </c>
      <c r="I371" s="48"/>
      <c r="J371" s="28"/>
      <c r="K371" s="28"/>
      <c r="L371" s="28"/>
      <c r="M371" s="19"/>
    </row>
    <row r="372">
      <c r="A372" s="66"/>
      <c r="B372" s="22">
        <v>44863.0</v>
      </c>
      <c r="C372" s="23" t="s">
        <v>581</v>
      </c>
      <c r="D372" s="61" t="s">
        <v>21</v>
      </c>
      <c r="E372" s="27" t="s">
        <v>30</v>
      </c>
      <c r="F372" s="27" t="s">
        <v>31</v>
      </c>
      <c r="G372" s="27" t="s">
        <v>32</v>
      </c>
      <c r="H372" s="27" t="s">
        <v>44</v>
      </c>
      <c r="I372" s="48"/>
      <c r="J372" s="28"/>
      <c r="K372" s="28"/>
      <c r="L372" s="28"/>
      <c r="M372" s="19"/>
    </row>
    <row r="373">
      <c r="A373" s="66"/>
      <c r="B373" s="22">
        <v>44938.0</v>
      </c>
      <c r="C373" s="23" t="s">
        <v>582</v>
      </c>
      <c r="D373" s="61" t="s">
        <v>21</v>
      </c>
      <c r="E373" s="72" t="s">
        <v>376</v>
      </c>
      <c r="F373" s="27" t="s">
        <v>379</v>
      </c>
      <c r="G373" s="27" t="s">
        <v>390</v>
      </c>
      <c r="H373" s="27" t="s">
        <v>44</v>
      </c>
      <c r="I373" s="48"/>
      <c r="J373" s="28"/>
      <c r="K373" s="28"/>
      <c r="L373" s="28"/>
      <c r="M373" s="19"/>
    </row>
    <row r="374">
      <c r="A374" s="66"/>
      <c r="B374" s="22">
        <v>44785.0</v>
      </c>
      <c r="C374" s="23" t="s">
        <v>583</v>
      </c>
      <c r="D374" s="61" t="s">
        <v>21</v>
      </c>
      <c r="E374" s="72" t="s">
        <v>376</v>
      </c>
      <c r="F374" s="27" t="s">
        <v>379</v>
      </c>
      <c r="G374" s="27" t="s">
        <v>390</v>
      </c>
      <c r="H374" s="27" t="s">
        <v>35</v>
      </c>
      <c r="I374" s="48"/>
      <c r="J374" s="28"/>
      <c r="K374" s="28"/>
      <c r="L374" s="28"/>
      <c r="M374" s="19"/>
    </row>
    <row r="375">
      <c r="A375" s="66"/>
      <c r="B375" s="22">
        <v>45156.0</v>
      </c>
      <c r="C375" s="23" t="s">
        <v>584</v>
      </c>
      <c r="D375" s="61" t="s">
        <v>21</v>
      </c>
      <c r="E375" s="27" t="s">
        <v>30</v>
      </c>
      <c r="F375" s="27" t="s">
        <v>31</v>
      </c>
      <c r="G375" s="27" t="s">
        <v>32</v>
      </c>
      <c r="H375" s="27" t="s">
        <v>44</v>
      </c>
      <c r="I375" s="48"/>
      <c r="J375" s="28"/>
      <c r="K375" s="28"/>
      <c r="L375" s="28"/>
      <c r="M375" s="19"/>
    </row>
    <row r="376">
      <c r="A376" s="66"/>
      <c r="B376" s="22">
        <v>44969.0</v>
      </c>
      <c r="C376" s="23" t="s">
        <v>585</v>
      </c>
      <c r="D376" s="61" t="s">
        <v>21</v>
      </c>
      <c r="E376" s="27" t="s">
        <v>334</v>
      </c>
      <c r="F376" s="27" t="s">
        <v>337</v>
      </c>
      <c r="G376" s="27" t="s">
        <v>32</v>
      </c>
      <c r="H376" s="27" t="s">
        <v>44</v>
      </c>
      <c r="I376" s="48"/>
      <c r="J376" s="28"/>
      <c r="K376" s="28"/>
      <c r="L376" s="28"/>
      <c r="M376" s="19"/>
    </row>
    <row r="377">
      <c r="A377" s="66"/>
      <c r="B377" s="30">
        <v>45112.0</v>
      </c>
      <c r="C377" s="23" t="s">
        <v>586</v>
      </c>
      <c r="D377" s="61" t="s">
        <v>21</v>
      </c>
      <c r="E377" s="27" t="s">
        <v>30</v>
      </c>
      <c r="F377" s="27" t="s">
        <v>31</v>
      </c>
      <c r="G377" s="27" t="s">
        <v>32</v>
      </c>
      <c r="H377" s="27" t="s">
        <v>44</v>
      </c>
      <c r="I377" s="48"/>
      <c r="J377" s="28"/>
      <c r="K377" s="28"/>
      <c r="L377" s="28"/>
      <c r="M377" s="19"/>
    </row>
    <row r="378">
      <c r="A378" s="66"/>
      <c r="B378" s="22">
        <v>45125.0</v>
      </c>
      <c r="C378" s="23" t="s">
        <v>587</v>
      </c>
      <c r="D378" s="61" t="s">
        <v>21</v>
      </c>
      <c r="E378" s="27" t="s">
        <v>30</v>
      </c>
      <c r="F378" s="27" t="s">
        <v>117</v>
      </c>
      <c r="G378" s="27" t="s">
        <v>32</v>
      </c>
      <c r="H378" s="27" t="s">
        <v>44</v>
      </c>
      <c r="I378" s="48"/>
      <c r="J378" s="28"/>
      <c r="K378" s="28"/>
      <c r="L378" s="28"/>
      <c r="M378" s="19"/>
    </row>
    <row r="379">
      <c r="A379" s="66"/>
      <c r="B379" s="22">
        <v>45210.0</v>
      </c>
      <c r="C379" s="23" t="s">
        <v>588</v>
      </c>
      <c r="D379" s="61" t="s">
        <v>21</v>
      </c>
      <c r="E379" s="27" t="s">
        <v>30</v>
      </c>
      <c r="F379" s="27" t="s">
        <v>31</v>
      </c>
      <c r="G379" s="27" t="s">
        <v>32</v>
      </c>
      <c r="H379" s="27" t="s">
        <v>44</v>
      </c>
      <c r="I379" s="48"/>
      <c r="J379" s="28"/>
      <c r="K379" s="28"/>
      <c r="L379" s="28"/>
      <c r="M379" s="19"/>
    </row>
    <row r="380">
      <c r="A380" s="66"/>
      <c r="B380" s="22">
        <v>45218.0</v>
      </c>
      <c r="C380" s="23" t="s">
        <v>589</v>
      </c>
      <c r="D380" s="61" t="s">
        <v>21</v>
      </c>
      <c r="E380" s="27" t="s">
        <v>30</v>
      </c>
      <c r="F380" s="27" t="s">
        <v>31</v>
      </c>
      <c r="G380" s="27" t="s">
        <v>32</v>
      </c>
      <c r="H380" s="27" t="s">
        <v>44</v>
      </c>
      <c r="I380" s="48"/>
      <c r="J380" s="28"/>
      <c r="K380" s="28"/>
      <c r="L380" s="28"/>
      <c r="M380" s="19"/>
    </row>
    <row r="381">
      <c r="A381" s="66"/>
      <c r="B381" s="22">
        <v>44805.0</v>
      </c>
      <c r="C381" s="23" t="s">
        <v>590</v>
      </c>
      <c r="D381" s="61" t="s">
        <v>21</v>
      </c>
      <c r="E381" s="27" t="s">
        <v>30</v>
      </c>
      <c r="F381" s="27" t="s">
        <v>31</v>
      </c>
      <c r="G381" s="27" t="s">
        <v>32</v>
      </c>
      <c r="H381" s="27" t="s">
        <v>44</v>
      </c>
      <c r="I381" s="48"/>
      <c r="J381" s="28"/>
      <c r="K381" s="28"/>
      <c r="L381" s="28"/>
      <c r="M381" s="19"/>
    </row>
    <row r="382">
      <c r="A382" s="66"/>
      <c r="B382" s="22">
        <v>44807.0</v>
      </c>
      <c r="C382" s="23" t="s">
        <v>591</v>
      </c>
      <c r="D382" s="61" t="s">
        <v>21</v>
      </c>
      <c r="E382" s="72" t="s">
        <v>376</v>
      </c>
      <c r="F382" s="27" t="s">
        <v>379</v>
      </c>
      <c r="G382" s="27" t="s">
        <v>32</v>
      </c>
      <c r="H382" s="73" t="s">
        <v>35</v>
      </c>
      <c r="I382" s="48"/>
      <c r="J382" s="28"/>
      <c r="K382" s="28"/>
      <c r="L382" s="28"/>
      <c r="M382" s="19"/>
    </row>
    <row r="383">
      <c r="A383" s="66"/>
      <c r="B383" s="71">
        <v>44810.0</v>
      </c>
      <c r="C383" s="23" t="s">
        <v>592</v>
      </c>
      <c r="D383" s="61" t="s">
        <v>21</v>
      </c>
      <c r="E383" s="27" t="s">
        <v>30</v>
      </c>
      <c r="F383" s="27" t="s">
        <v>117</v>
      </c>
      <c r="G383" s="27" t="s">
        <v>32</v>
      </c>
      <c r="H383" s="27" t="s">
        <v>252</v>
      </c>
      <c r="I383" s="48"/>
      <c r="J383" s="28"/>
      <c r="K383" s="28"/>
      <c r="L383" s="28"/>
      <c r="M383" s="19"/>
    </row>
    <row r="384">
      <c r="A384" s="66"/>
      <c r="B384" s="22">
        <v>45233.0</v>
      </c>
      <c r="C384" s="23" t="s">
        <v>593</v>
      </c>
      <c r="D384" s="61" t="s">
        <v>21</v>
      </c>
      <c r="E384" s="27" t="s">
        <v>30</v>
      </c>
      <c r="F384" s="27" t="s">
        <v>117</v>
      </c>
      <c r="G384" s="27" t="s">
        <v>32</v>
      </c>
      <c r="H384" s="27" t="s">
        <v>44</v>
      </c>
      <c r="I384" s="48"/>
      <c r="J384" s="28"/>
      <c r="K384" s="28"/>
      <c r="L384" s="28"/>
      <c r="M384" s="19"/>
    </row>
    <row r="385">
      <c r="A385" s="66"/>
      <c r="B385" s="22">
        <v>44917.0</v>
      </c>
      <c r="C385" s="23" t="s">
        <v>594</v>
      </c>
      <c r="D385" s="61" t="s">
        <v>21</v>
      </c>
      <c r="E385" s="27" t="s">
        <v>30</v>
      </c>
      <c r="F385" s="27" t="s">
        <v>117</v>
      </c>
      <c r="G385" s="27" t="s">
        <v>32</v>
      </c>
      <c r="H385" s="27" t="s">
        <v>44</v>
      </c>
      <c r="I385" s="48"/>
      <c r="J385" s="28"/>
      <c r="K385" s="28"/>
      <c r="L385" s="28"/>
      <c r="M385" s="19"/>
    </row>
    <row r="386">
      <c r="A386" s="66"/>
      <c r="B386" s="22">
        <v>45029.0</v>
      </c>
      <c r="C386" s="23" t="s">
        <v>595</v>
      </c>
      <c r="D386" s="61" t="s">
        <v>21</v>
      </c>
      <c r="E386" s="27" t="s">
        <v>30</v>
      </c>
      <c r="F386" s="27" t="s">
        <v>117</v>
      </c>
      <c r="G386" s="27" t="s">
        <v>32</v>
      </c>
      <c r="H386" s="27" t="s">
        <v>44</v>
      </c>
      <c r="I386" s="48"/>
      <c r="J386" s="28"/>
      <c r="K386" s="28"/>
      <c r="L386" s="28"/>
      <c r="M386" s="19"/>
    </row>
    <row r="387">
      <c r="A387" s="66"/>
      <c r="B387" s="22">
        <v>44809.0</v>
      </c>
      <c r="C387" s="23" t="s">
        <v>596</v>
      </c>
      <c r="D387" s="61" t="s">
        <v>21</v>
      </c>
      <c r="E387" s="72" t="s">
        <v>376</v>
      </c>
      <c r="F387" s="27" t="s">
        <v>424</v>
      </c>
      <c r="G387" s="27" t="s">
        <v>359</v>
      </c>
      <c r="H387" s="73" t="s">
        <v>35</v>
      </c>
      <c r="I387" s="48"/>
      <c r="J387" s="28"/>
      <c r="K387" s="28"/>
      <c r="L387" s="28"/>
      <c r="M387" s="19"/>
    </row>
    <row r="388">
      <c r="A388" s="66"/>
      <c r="B388" s="22">
        <v>44755.0</v>
      </c>
      <c r="C388" s="23" t="s">
        <v>597</v>
      </c>
      <c r="D388" s="61" t="s">
        <v>21</v>
      </c>
      <c r="E388" s="72" t="s">
        <v>376</v>
      </c>
      <c r="F388" s="27" t="s">
        <v>424</v>
      </c>
      <c r="G388" s="27" t="s">
        <v>359</v>
      </c>
      <c r="H388" s="74" t="s">
        <v>44</v>
      </c>
      <c r="I388" s="48"/>
      <c r="J388" s="28"/>
      <c r="K388" s="28"/>
      <c r="L388" s="28"/>
      <c r="M388" s="19"/>
    </row>
    <row r="389">
      <c r="A389" s="66"/>
      <c r="B389" s="22">
        <v>44810.0</v>
      </c>
      <c r="C389" s="23" t="s">
        <v>598</v>
      </c>
      <c r="D389" s="61" t="s">
        <v>21</v>
      </c>
      <c r="E389" s="72" t="s">
        <v>376</v>
      </c>
      <c r="F389" s="27" t="s">
        <v>424</v>
      </c>
      <c r="G389" s="27" t="s">
        <v>390</v>
      </c>
      <c r="H389" s="73" t="s">
        <v>35</v>
      </c>
      <c r="I389" s="48"/>
      <c r="J389" s="28"/>
      <c r="K389" s="28"/>
      <c r="L389" s="28"/>
      <c r="M389" s="19"/>
    </row>
    <row r="390">
      <c r="A390" s="66"/>
      <c r="B390" s="22">
        <v>45180.0</v>
      </c>
      <c r="C390" s="23" t="s">
        <v>599</v>
      </c>
      <c r="D390" s="61" t="s">
        <v>21</v>
      </c>
      <c r="E390" s="27" t="s">
        <v>376</v>
      </c>
      <c r="F390" s="27" t="s">
        <v>379</v>
      </c>
      <c r="G390" s="27" t="s">
        <v>390</v>
      </c>
      <c r="H390" s="27" t="s">
        <v>44</v>
      </c>
      <c r="I390" s="48"/>
      <c r="J390" s="28"/>
      <c r="K390" s="28"/>
      <c r="L390" s="28"/>
      <c r="M390" s="19"/>
    </row>
    <row r="391">
      <c r="A391" s="66"/>
      <c r="B391" s="71">
        <v>44816.0</v>
      </c>
      <c r="C391" s="23" t="s">
        <v>600</v>
      </c>
      <c r="D391" s="61" t="s">
        <v>21</v>
      </c>
      <c r="E391" s="27" t="s">
        <v>30</v>
      </c>
      <c r="F391" s="27" t="s">
        <v>117</v>
      </c>
      <c r="G391" s="27" t="s">
        <v>359</v>
      </c>
      <c r="H391" s="27" t="s">
        <v>44</v>
      </c>
      <c r="I391" s="48"/>
      <c r="J391" s="28"/>
      <c r="K391" s="28"/>
      <c r="L391" s="28"/>
      <c r="M391" s="19"/>
    </row>
    <row r="392">
      <c r="A392" s="66"/>
      <c r="B392" s="22">
        <v>44849.0</v>
      </c>
      <c r="C392" s="23" t="s">
        <v>601</v>
      </c>
      <c r="D392" s="61" t="s">
        <v>21</v>
      </c>
      <c r="E392" s="27" t="s">
        <v>30</v>
      </c>
      <c r="F392" s="27" t="s">
        <v>117</v>
      </c>
      <c r="G392" s="27" t="s">
        <v>32</v>
      </c>
      <c r="H392" s="27" t="s">
        <v>44</v>
      </c>
      <c r="I392" s="48"/>
      <c r="J392" s="28"/>
      <c r="K392" s="28"/>
      <c r="L392" s="28"/>
      <c r="M392" s="19"/>
    </row>
    <row r="393">
      <c r="A393" s="66"/>
      <c r="B393" s="22">
        <v>45116.0</v>
      </c>
      <c r="C393" s="23" t="s">
        <v>602</v>
      </c>
      <c r="D393" s="61" t="s">
        <v>21</v>
      </c>
      <c r="E393" s="27" t="s">
        <v>376</v>
      </c>
      <c r="F393" s="27" t="s">
        <v>379</v>
      </c>
      <c r="G393" s="27" t="s">
        <v>390</v>
      </c>
      <c r="H393" s="27" t="s">
        <v>44</v>
      </c>
      <c r="I393" s="48"/>
      <c r="J393" s="28"/>
      <c r="K393" s="28"/>
      <c r="L393" s="28"/>
      <c r="M393" s="19"/>
    </row>
    <row r="394">
      <c r="A394" s="66"/>
      <c r="B394" s="22">
        <v>44859.0</v>
      </c>
      <c r="C394" s="23" t="s">
        <v>603</v>
      </c>
      <c r="D394" s="61" t="s">
        <v>21</v>
      </c>
      <c r="E394" s="27" t="s">
        <v>334</v>
      </c>
      <c r="F394" s="27" t="s">
        <v>335</v>
      </c>
      <c r="G394" s="27" t="s">
        <v>32</v>
      </c>
      <c r="H394" s="27" t="s">
        <v>52</v>
      </c>
      <c r="I394" s="48"/>
      <c r="J394" s="28"/>
      <c r="K394" s="28"/>
      <c r="L394" s="28"/>
      <c r="M394" s="19"/>
    </row>
    <row r="395">
      <c r="A395" s="66"/>
      <c r="B395" s="22">
        <v>45176.0</v>
      </c>
      <c r="C395" s="23" t="s">
        <v>604</v>
      </c>
      <c r="D395" s="61" t="s">
        <v>21</v>
      </c>
      <c r="E395" s="27" t="s">
        <v>30</v>
      </c>
      <c r="F395" s="27" t="s">
        <v>31</v>
      </c>
      <c r="G395" s="27" t="s">
        <v>32</v>
      </c>
      <c r="H395" s="27" t="s">
        <v>44</v>
      </c>
      <c r="I395" s="48"/>
      <c r="J395" s="28"/>
      <c r="K395" s="28"/>
      <c r="L395" s="28"/>
      <c r="M395" s="19"/>
    </row>
    <row r="396">
      <c r="A396" s="66"/>
      <c r="B396" s="22">
        <v>45206.0</v>
      </c>
      <c r="C396" s="23" t="s">
        <v>605</v>
      </c>
      <c r="D396" s="61" t="s">
        <v>21</v>
      </c>
      <c r="E396" s="27" t="s">
        <v>30</v>
      </c>
      <c r="F396" s="27" t="s">
        <v>117</v>
      </c>
      <c r="G396" s="27" t="s">
        <v>32</v>
      </c>
      <c r="H396" s="27" t="s">
        <v>44</v>
      </c>
      <c r="I396" s="48"/>
      <c r="J396" s="28"/>
      <c r="K396" s="28"/>
      <c r="L396" s="28"/>
      <c r="M396" s="19"/>
    </row>
    <row r="397">
      <c r="A397" s="66"/>
      <c r="B397" s="22">
        <v>44824.0</v>
      </c>
      <c r="C397" s="23" t="s">
        <v>606</v>
      </c>
      <c r="D397" s="61" t="s">
        <v>21</v>
      </c>
      <c r="E397" s="27" t="s">
        <v>376</v>
      </c>
      <c r="F397" s="27" t="s">
        <v>379</v>
      </c>
      <c r="G397" s="27" t="s">
        <v>390</v>
      </c>
      <c r="H397" s="73" t="s">
        <v>35</v>
      </c>
      <c r="I397" s="48"/>
      <c r="J397" s="28"/>
      <c r="K397" s="28"/>
      <c r="L397" s="28"/>
      <c r="M397" s="19"/>
    </row>
    <row r="398">
      <c r="A398" s="66"/>
      <c r="B398" s="71">
        <v>44824.0</v>
      </c>
      <c r="C398" s="23" t="s">
        <v>607</v>
      </c>
      <c r="D398" s="61" t="s">
        <v>21</v>
      </c>
      <c r="E398" s="27" t="s">
        <v>376</v>
      </c>
      <c r="F398" s="27" t="s">
        <v>31</v>
      </c>
      <c r="G398" s="27" t="s">
        <v>390</v>
      </c>
      <c r="H398" s="27" t="s">
        <v>44</v>
      </c>
      <c r="I398" s="48"/>
      <c r="J398" s="28"/>
      <c r="K398" s="28"/>
      <c r="L398" s="28"/>
      <c r="M398" s="19"/>
    </row>
    <row r="399">
      <c r="A399" s="66"/>
      <c r="B399" s="22">
        <v>44995.0</v>
      </c>
      <c r="C399" s="23" t="s">
        <v>608</v>
      </c>
      <c r="D399" s="61" t="s">
        <v>21</v>
      </c>
      <c r="E399" s="27" t="s">
        <v>376</v>
      </c>
      <c r="F399" s="27" t="s">
        <v>31</v>
      </c>
      <c r="G399" s="27" t="s">
        <v>359</v>
      </c>
      <c r="H399" s="27" t="s">
        <v>35</v>
      </c>
      <c r="I399" s="48"/>
      <c r="J399" s="28"/>
      <c r="K399" s="28"/>
      <c r="L399" s="28"/>
      <c r="M399" s="19"/>
    </row>
    <row r="400">
      <c r="A400" s="66"/>
      <c r="B400" s="22">
        <v>44972.0</v>
      </c>
      <c r="C400" s="23" t="s">
        <v>609</v>
      </c>
      <c r="D400" s="61" t="s">
        <v>21</v>
      </c>
      <c r="E400" s="27" t="s">
        <v>334</v>
      </c>
      <c r="F400" s="27" t="s">
        <v>335</v>
      </c>
      <c r="G400" s="27" t="s">
        <v>32</v>
      </c>
      <c r="H400" s="27" t="s">
        <v>44</v>
      </c>
      <c r="I400" s="48"/>
      <c r="J400" s="28"/>
      <c r="K400" s="28"/>
      <c r="L400" s="28"/>
      <c r="M400" s="19"/>
    </row>
    <row r="401">
      <c r="A401" s="66"/>
      <c r="B401" s="22">
        <v>45228.0</v>
      </c>
      <c r="C401" s="23" t="s">
        <v>610</v>
      </c>
      <c r="D401" s="61" t="s">
        <v>21</v>
      </c>
      <c r="E401" s="27" t="s">
        <v>30</v>
      </c>
      <c r="F401" s="27" t="s">
        <v>117</v>
      </c>
      <c r="G401" s="27" t="s">
        <v>32</v>
      </c>
      <c r="H401" s="27" t="s">
        <v>44</v>
      </c>
      <c r="I401" s="48"/>
      <c r="J401" s="28"/>
      <c r="K401" s="28"/>
      <c r="L401" s="28"/>
      <c r="M401" s="19"/>
    </row>
    <row r="402">
      <c r="A402" s="66"/>
      <c r="B402" s="22">
        <v>45079.0</v>
      </c>
      <c r="C402" s="23" t="s">
        <v>611</v>
      </c>
      <c r="D402" s="61" t="s">
        <v>21</v>
      </c>
      <c r="E402" s="27" t="s">
        <v>30</v>
      </c>
      <c r="F402" s="27" t="s">
        <v>117</v>
      </c>
      <c r="G402" s="27" t="s">
        <v>32</v>
      </c>
      <c r="H402" s="27" t="s">
        <v>44</v>
      </c>
      <c r="I402" s="48"/>
      <c r="J402" s="28"/>
      <c r="K402" s="28"/>
      <c r="L402" s="28"/>
      <c r="M402" s="19"/>
    </row>
    <row r="403">
      <c r="A403" s="66"/>
      <c r="B403" s="22">
        <v>44970.0</v>
      </c>
      <c r="C403" s="23" t="s">
        <v>612</v>
      </c>
      <c r="D403" s="61" t="s">
        <v>21</v>
      </c>
      <c r="E403" s="27" t="s">
        <v>334</v>
      </c>
      <c r="F403" s="27" t="s">
        <v>335</v>
      </c>
      <c r="G403" s="27" t="s">
        <v>32</v>
      </c>
      <c r="H403" s="27" t="s">
        <v>44</v>
      </c>
      <c r="I403" s="48"/>
      <c r="J403" s="28"/>
      <c r="K403" s="28"/>
      <c r="L403" s="28"/>
      <c r="M403" s="19"/>
    </row>
    <row r="404">
      <c r="A404" s="66"/>
      <c r="B404" s="71">
        <v>44829.0</v>
      </c>
      <c r="C404" s="23" t="s">
        <v>613</v>
      </c>
      <c r="D404" s="61" t="s">
        <v>21</v>
      </c>
      <c r="E404" s="27" t="s">
        <v>334</v>
      </c>
      <c r="F404" s="27" t="s">
        <v>335</v>
      </c>
      <c r="G404" s="27" t="s">
        <v>32</v>
      </c>
      <c r="H404" s="27" t="s">
        <v>44</v>
      </c>
      <c r="I404" s="48"/>
      <c r="J404" s="28"/>
      <c r="K404" s="28"/>
      <c r="L404" s="28"/>
      <c r="M404" s="19"/>
    </row>
    <row r="405">
      <c r="A405" s="66"/>
      <c r="B405" s="22">
        <v>42708.0</v>
      </c>
      <c r="C405" s="23" t="s">
        <v>614</v>
      </c>
      <c r="D405" s="61" t="s">
        <v>21</v>
      </c>
      <c r="E405" s="27" t="s">
        <v>334</v>
      </c>
      <c r="F405" s="27" t="s">
        <v>335</v>
      </c>
      <c r="G405" s="27" t="s">
        <v>359</v>
      </c>
      <c r="H405" s="73" t="s">
        <v>35</v>
      </c>
      <c r="I405" s="48"/>
      <c r="J405" s="28"/>
      <c r="K405" s="28"/>
      <c r="L405" s="28"/>
      <c r="M405" s="19"/>
    </row>
    <row r="406">
      <c r="A406" s="66"/>
      <c r="B406" s="22">
        <v>44829.0</v>
      </c>
      <c r="C406" s="23" t="s">
        <v>615</v>
      </c>
      <c r="D406" s="61" t="s">
        <v>21</v>
      </c>
      <c r="E406" s="27" t="s">
        <v>392</v>
      </c>
      <c r="F406" s="27" t="s">
        <v>379</v>
      </c>
      <c r="G406" s="27" t="s">
        <v>390</v>
      </c>
      <c r="H406" s="27" t="s">
        <v>52</v>
      </c>
      <c r="I406" s="48"/>
      <c r="J406" s="28"/>
      <c r="K406" s="28"/>
      <c r="L406" s="28"/>
      <c r="M406" s="19"/>
    </row>
    <row r="407">
      <c r="A407" s="66"/>
      <c r="B407" s="71">
        <v>44830.0</v>
      </c>
      <c r="C407" s="23" t="s">
        <v>616</v>
      </c>
      <c r="D407" s="61" t="s">
        <v>21</v>
      </c>
      <c r="E407" s="27" t="s">
        <v>30</v>
      </c>
      <c r="F407" s="27" t="s">
        <v>117</v>
      </c>
      <c r="G407" s="27" t="s">
        <v>191</v>
      </c>
      <c r="H407" s="27" t="s">
        <v>44</v>
      </c>
      <c r="I407" s="48"/>
      <c r="J407" s="28"/>
      <c r="K407" s="28"/>
      <c r="L407" s="28"/>
      <c r="M407" s="19"/>
    </row>
    <row r="408">
      <c r="A408" s="66"/>
      <c r="B408" s="22">
        <v>44862.0</v>
      </c>
      <c r="C408" s="23" t="s">
        <v>617</v>
      </c>
      <c r="D408" s="61" t="s">
        <v>21</v>
      </c>
      <c r="E408" s="27" t="s">
        <v>30</v>
      </c>
      <c r="F408" s="27" t="s">
        <v>31</v>
      </c>
      <c r="G408" s="27" t="s">
        <v>32</v>
      </c>
      <c r="H408" s="27" t="s">
        <v>44</v>
      </c>
      <c r="I408" s="48"/>
      <c r="J408" s="28"/>
      <c r="K408" s="28"/>
      <c r="L408" s="28"/>
      <c r="M408" s="19"/>
    </row>
    <row r="409">
      <c r="A409" s="66"/>
      <c r="B409" s="22">
        <v>44841.0</v>
      </c>
      <c r="C409" s="23" t="s">
        <v>618</v>
      </c>
      <c r="D409" s="61" t="s">
        <v>21</v>
      </c>
      <c r="E409" s="27" t="s">
        <v>376</v>
      </c>
      <c r="F409" s="27" t="s">
        <v>379</v>
      </c>
      <c r="G409" s="27" t="s">
        <v>359</v>
      </c>
      <c r="H409" s="27" t="s">
        <v>44</v>
      </c>
      <c r="I409" s="48"/>
      <c r="J409" s="28"/>
      <c r="K409" s="28"/>
      <c r="L409" s="28"/>
      <c r="M409" s="19"/>
    </row>
    <row r="410">
      <c r="A410" s="66"/>
      <c r="B410" s="22">
        <v>45178.0</v>
      </c>
      <c r="C410" s="23" t="s">
        <v>619</v>
      </c>
      <c r="D410" s="61" t="s">
        <v>21</v>
      </c>
      <c r="E410" s="27" t="s">
        <v>30</v>
      </c>
      <c r="F410" s="27" t="s">
        <v>31</v>
      </c>
      <c r="G410" s="27" t="s">
        <v>32</v>
      </c>
      <c r="H410" s="27" t="s">
        <v>44</v>
      </c>
      <c r="I410" s="48"/>
      <c r="J410" s="28"/>
      <c r="K410" s="28"/>
      <c r="L410" s="28"/>
      <c r="M410" s="19"/>
    </row>
    <row r="411">
      <c r="A411" s="66"/>
      <c r="B411" s="71">
        <v>44836.0</v>
      </c>
      <c r="C411" s="23" t="s">
        <v>620</v>
      </c>
      <c r="D411" s="61" t="s">
        <v>21</v>
      </c>
      <c r="E411" s="27" t="s">
        <v>30</v>
      </c>
      <c r="F411" s="27" t="s">
        <v>117</v>
      </c>
      <c r="G411" s="27" t="s">
        <v>32</v>
      </c>
      <c r="H411" s="27" t="s">
        <v>44</v>
      </c>
      <c r="I411" s="48"/>
      <c r="J411" s="28"/>
      <c r="K411" s="28"/>
      <c r="L411" s="28"/>
      <c r="M411" s="19"/>
    </row>
    <row r="412">
      <c r="A412" s="66"/>
      <c r="B412" s="22">
        <v>45054.0</v>
      </c>
      <c r="C412" s="23" t="s">
        <v>621</v>
      </c>
      <c r="D412" s="61" t="s">
        <v>21</v>
      </c>
      <c r="E412" s="27" t="s">
        <v>30</v>
      </c>
      <c r="F412" s="27" t="s">
        <v>31</v>
      </c>
      <c r="G412" s="27" t="s">
        <v>32</v>
      </c>
      <c r="H412" s="27" t="s">
        <v>44</v>
      </c>
      <c r="I412" s="48"/>
      <c r="J412" s="28"/>
      <c r="K412" s="28"/>
      <c r="L412" s="28"/>
      <c r="M412" s="19"/>
    </row>
    <row r="413">
      <c r="A413" s="66"/>
      <c r="B413" s="22">
        <v>45235.0</v>
      </c>
      <c r="C413" s="23" t="s">
        <v>622</v>
      </c>
      <c r="D413" s="61" t="s">
        <v>21</v>
      </c>
      <c r="E413" s="27" t="s">
        <v>30</v>
      </c>
      <c r="F413" s="27" t="s">
        <v>117</v>
      </c>
      <c r="G413" s="27" t="s">
        <v>32</v>
      </c>
      <c r="H413" s="27" t="s">
        <v>44</v>
      </c>
      <c r="I413" s="48"/>
      <c r="J413" s="28"/>
      <c r="K413" s="28"/>
      <c r="L413" s="28"/>
      <c r="M413" s="19"/>
    </row>
    <row r="414">
      <c r="A414" s="66"/>
      <c r="B414" s="22">
        <v>44971.0</v>
      </c>
      <c r="C414" s="23" t="s">
        <v>623</v>
      </c>
      <c r="D414" s="61" t="s">
        <v>21</v>
      </c>
      <c r="E414" s="27" t="s">
        <v>30</v>
      </c>
      <c r="F414" s="27" t="s">
        <v>117</v>
      </c>
      <c r="G414" s="27" t="s">
        <v>32</v>
      </c>
      <c r="H414" s="27" t="s">
        <v>44</v>
      </c>
      <c r="I414" s="48"/>
      <c r="J414" s="28"/>
      <c r="K414" s="28"/>
      <c r="L414" s="28"/>
      <c r="M414" s="19"/>
    </row>
    <row r="415">
      <c r="A415" s="66"/>
      <c r="B415" s="71">
        <v>44843.0</v>
      </c>
      <c r="C415" s="23" t="s">
        <v>624</v>
      </c>
      <c r="D415" s="61" t="s">
        <v>21</v>
      </c>
      <c r="E415" s="27" t="s">
        <v>30</v>
      </c>
      <c r="F415" s="27" t="s">
        <v>117</v>
      </c>
      <c r="G415" s="27" t="s">
        <v>32</v>
      </c>
      <c r="H415" s="27" t="s">
        <v>44</v>
      </c>
      <c r="I415" s="48"/>
      <c r="J415" s="28"/>
      <c r="K415" s="28"/>
      <c r="L415" s="28"/>
      <c r="M415" s="19"/>
    </row>
    <row r="416">
      <c r="A416" s="66"/>
      <c r="B416" s="22">
        <v>45193.0</v>
      </c>
      <c r="C416" s="23" t="s">
        <v>625</v>
      </c>
      <c r="D416" s="61" t="s">
        <v>21</v>
      </c>
      <c r="E416" s="27" t="s">
        <v>30</v>
      </c>
      <c r="F416" s="27" t="s">
        <v>31</v>
      </c>
      <c r="G416" s="27" t="s">
        <v>32</v>
      </c>
      <c r="H416" s="27" t="s">
        <v>44</v>
      </c>
      <c r="I416" s="48"/>
      <c r="J416" s="28"/>
      <c r="K416" s="28"/>
      <c r="L416" s="28"/>
      <c r="M416" s="19"/>
    </row>
    <row r="417">
      <c r="A417" s="66"/>
      <c r="B417" s="71">
        <v>44835.0</v>
      </c>
      <c r="C417" s="23" t="s">
        <v>626</v>
      </c>
      <c r="D417" s="61" t="s">
        <v>21</v>
      </c>
      <c r="E417" s="72" t="s">
        <v>376</v>
      </c>
      <c r="F417" s="27" t="s">
        <v>31</v>
      </c>
      <c r="G417" s="27" t="s">
        <v>359</v>
      </c>
      <c r="H417" s="74" t="s">
        <v>52</v>
      </c>
      <c r="I417" s="48"/>
      <c r="J417" s="28"/>
      <c r="K417" s="28"/>
      <c r="L417" s="28"/>
      <c r="M417" s="19"/>
    </row>
    <row r="418">
      <c r="A418" s="66"/>
      <c r="B418" s="22">
        <v>45094.0</v>
      </c>
      <c r="C418" s="23" t="s">
        <v>627</v>
      </c>
      <c r="D418" s="61" t="s">
        <v>21</v>
      </c>
      <c r="E418" s="27" t="s">
        <v>30</v>
      </c>
      <c r="F418" s="27" t="s">
        <v>117</v>
      </c>
      <c r="G418" s="27" t="s">
        <v>359</v>
      </c>
      <c r="H418" s="27" t="s">
        <v>44</v>
      </c>
      <c r="I418" s="48"/>
      <c r="J418" s="28"/>
      <c r="K418" s="28"/>
      <c r="L418" s="28"/>
      <c r="M418" s="19"/>
    </row>
    <row r="419">
      <c r="A419" s="66"/>
      <c r="B419" s="71">
        <v>44849.0</v>
      </c>
      <c r="C419" s="23" t="s">
        <v>628</v>
      </c>
      <c r="D419" s="61" t="s">
        <v>21</v>
      </c>
      <c r="E419" s="27" t="s">
        <v>30</v>
      </c>
      <c r="F419" s="27" t="s">
        <v>117</v>
      </c>
      <c r="G419" s="27" t="s">
        <v>32</v>
      </c>
      <c r="H419" s="27" t="s">
        <v>44</v>
      </c>
      <c r="I419" s="48"/>
      <c r="J419" s="28"/>
      <c r="K419" s="28"/>
      <c r="L419" s="28"/>
      <c r="M419" s="19"/>
    </row>
    <row r="420">
      <c r="A420" s="66"/>
      <c r="B420" s="71">
        <v>44849.0</v>
      </c>
      <c r="C420" s="23" t="s">
        <v>629</v>
      </c>
      <c r="D420" s="61" t="s">
        <v>21</v>
      </c>
      <c r="E420" s="27" t="s">
        <v>376</v>
      </c>
      <c r="F420" s="27" t="s">
        <v>379</v>
      </c>
      <c r="G420" s="27" t="s">
        <v>359</v>
      </c>
      <c r="H420" s="27" t="s">
        <v>44</v>
      </c>
      <c r="I420" s="48"/>
      <c r="J420" s="28"/>
      <c r="K420" s="28"/>
      <c r="L420" s="28"/>
      <c r="M420" s="19"/>
    </row>
    <row r="421">
      <c r="A421" s="66"/>
      <c r="B421" s="71">
        <v>44853.0</v>
      </c>
      <c r="C421" s="23" t="s">
        <v>630</v>
      </c>
      <c r="D421" s="61" t="s">
        <v>21</v>
      </c>
      <c r="E421" s="27" t="s">
        <v>334</v>
      </c>
      <c r="F421" s="27" t="s">
        <v>335</v>
      </c>
      <c r="G421" s="27" t="s">
        <v>32</v>
      </c>
      <c r="H421" s="27" t="s">
        <v>35</v>
      </c>
      <c r="I421" s="48"/>
      <c r="J421" s="28"/>
      <c r="K421" s="28"/>
      <c r="L421" s="28"/>
      <c r="M421" s="19"/>
    </row>
    <row r="422">
      <c r="A422" s="66"/>
      <c r="B422" s="71">
        <v>44854.0</v>
      </c>
      <c r="C422" s="23" t="s">
        <v>631</v>
      </c>
      <c r="D422" s="61" t="s">
        <v>21</v>
      </c>
      <c r="E422" s="27" t="s">
        <v>30</v>
      </c>
      <c r="F422" s="27" t="s">
        <v>117</v>
      </c>
      <c r="G422" s="27" t="s">
        <v>32</v>
      </c>
      <c r="H422" s="27" t="s">
        <v>44</v>
      </c>
      <c r="I422" s="48"/>
      <c r="J422" s="28"/>
      <c r="K422" s="28"/>
      <c r="L422" s="28"/>
      <c r="M422" s="19"/>
    </row>
    <row r="423">
      <c r="A423" s="66"/>
      <c r="B423" s="22">
        <v>44873.0</v>
      </c>
      <c r="C423" s="23" t="s">
        <v>632</v>
      </c>
      <c r="D423" s="61" t="s">
        <v>21</v>
      </c>
      <c r="E423" s="27" t="s">
        <v>30</v>
      </c>
      <c r="F423" s="27" t="s">
        <v>117</v>
      </c>
      <c r="G423" s="27" t="s">
        <v>32</v>
      </c>
      <c r="H423" s="27" t="s">
        <v>44</v>
      </c>
      <c r="I423" s="48"/>
      <c r="J423" s="28"/>
      <c r="K423" s="28"/>
      <c r="L423" s="28"/>
      <c r="M423" s="19"/>
    </row>
    <row r="424">
      <c r="A424" s="66"/>
      <c r="B424" s="22">
        <v>44922.0</v>
      </c>
      <c r="C424" s="23" t="s">
        <v>633</v>
      </c>
      <c r="D424" s="61" t="s">
        <v>21</v>
      </c>
      <c r="E424" s="27" t="s">
        <v>30</v>
      </c>
      <c r="F424" s="27" t="s">
        <v>31</v>
      </c>
      <c r="G424" s="27" t="s">
        <v>32</v>
      </c>
      <c r="H424" s="27" t="s">
        <v>44</v>
      </c>
      <c r="I424" s="48"/>
      <c r="J424" s="28"/>
      <c r="K424" s="28"/>
      <c r="L424" s="28"/>
      <c r="M424" s="19"/>
    </row>
    <row r="425">
      <c r="A425" s="66"/>
      <c r="B425" s="22">
        <v>45235.0</v>
      </c>
      <c r="C425" s="23" t="s">
        <v>634</v>
      </c>
      <c r="D425" s="61" t="s">
        <v>21</v>
      </c>
      <c r="E425" s="27" t="s">
        <v>30</v>
      </c>
      <c r="F425" s="27" t="s">
        <v>31</v>
      </c>
      <c r="G425" s="27" t="s">
        <v>32</v>
      </c>
      <c r="H425" s="27" t="s">
        <v>44</v>
      </c>
      <c r="I425" s="48"/>
      <c r="J425" s="28"/>
      <c r="K425" s="28"/>
      <c r="L425" s="28"/>
      <c r="M425" s="19"/>
    </row>
    <row r="426">
      <c r="A426" s="66"/>
      <c r="B426" s="71">
        <v>44858.0</v>
      </c>
      <c r="C426" s="23" t="s">
        <v>635</v>
      </c>
      <c r="D426" s="61" t="s">
        <v>21</v>
      </c>
      <c r="E426" s="27" t="s">
        <v>30</v>
      </c>
      <c r="F426" s="27" t="s">
        <v>31</v>
      </c>
      <c r="G426" s="27" t="s">
        <v>32</v>
      </c>
      <c r="H426" s="27" t="s">
        <v>44</v>
      </c>
      <c r="I426" s="48"/>
      <c r="J426" s="28"/>
      <c r="K426" s="28"/>
      <c r="L426" s="28"/>
      <c r="M426" s="19"/>
    </row>
    <row r="427">
      <c r="A427" s="66"/>
      <c r="B427" s="71">
        <v>44858.0</v>
      </c>
      <c r="C427" s="23" t="s">
        <v>636</v>
      </c>
      <c r="D427" s="61" t="s">
        <v>21</v>
      </c>
      <c r="E427" s="27" t="s">
        <v>30</v>
      </c>
      <c r="F427" s="27" t="s">
        <v>31</v>
      </c>
      <c r="G427" s="27" t="s">
        <v>32</v>
      </c>
      <c r="H427" s="27" t="s">
        <v>44</v>
      </c>
      <c r="I427" s="48"/>
      <c r="J427" s="28"/>
      <c r="K427" s="28"/>
      <c r="L427" s="28"/>
      <c r="M427" s="19"/>
    </row>
    <row r="428">
      <c r="A428" s="66"/>
      <c r="B428" s="22">
        <v>45113.0</v>
      </c>
      <c r="C428" s="23" t="s">
        <v>637</v>
      </c>
      <c r="D428" s="61" t="s">
        <v>21</v>
      </c>
      <c r="E428" s="27" t="s">
        <v>30</v>
      </c>
      <c r="F428" s="27" t="s">
        <v>117</v>
      </c>
      <c r="G428" s="27" t="s">
        <v>32</v>
      </c>
      <c r="H428" s="27" t="s">
        <v>52</v>
      </c>
      <c r="I428" s="48"/>
      <c r="J428" s="28"/>
      <c r="K428" s="28"/>
      <c r="L428" s="28"/>
      <c r="M428" s="19"/>
    </row>
    <row r="429">
      <c r="A429" s="66"/>
      <c r="B429" s="22">
        <v>45167.0</v>
      </c>
      <c r="C429" s="23" t="s">
        <v>638</v>
      </c>
      <c r="D429" s="61" t="s">
        <v>21</v>
      </c>
      <c r="E429" s="27" t="s">
        <v>30</v>
      </c>
      <c r="F429" s="27" t="s">
        <v>117</v>
      </c>
      <c r="G429" s="27" t="s">
        <v>32</v>
      </c>
      <c r="H429" s="27" t="s">
        <v>44</v>
      </c>
      <c r="I429" s="48"/>
      <c r="J429" s="28"/>
      <c r="K429" s="28"/>
      <c r="L429" s="28"/>
      <c r="M429" s="19"/>
    </row>
    <row r="430">
      <c r="A430" s="66"/>
      <c r="B430" s="22">
        <v>44877.0</v>
      </c>
      <c r="C430" s="23" t="s">
        <v>639</v>
      </c>
      <c r="D430" s="61" t="s">
        <v>21</v>
      </c>
      <c r="E430" s="27" t="s">
        <v>30</v>
      </c>
      <c r="F430" s="27" t="s">
        <v>31</v>
      </c>
      <c r="G430" s="27" t="s">
        <v>32</v>
      </c>
      <c r="H430" s="27" t="s">
        <v>44</v>
      </c>
      <c r="I430" s="48"/>
      <c r="J430" s="28"/>
      <c r="K430" s="28"/>
      <c r="L430" s="28"/>
      <c r="M430" s="19"/>
    </row>
    <row r="431">
      <c r="A431" s="66"/>
      <c r="B431" s="71">
        <v>44860.0</v>
      </c>
      <c r="C431" s="23" t="s">
        <v>640</v>
      </c>
      <c r="D431" s="61" t="s">
        <v>21</v>
      </c>
      <c r="E431" s="72" t="s">
        <v>376</v>
      </c>
      <c r="F431" s="27" t="s">
        <v>641</v>
      </c>
      <c r="G431" s="27" t="s">
        <v>32</v>
      </c>
      <c r="H431" s="73" t="s">
        <v>35</v>
      </c>
      <c r="I431" s="48"/>
      <c r="J431" s="28"/>
      <c r="K431" s="28"/>
      <c r="L431" s="28"/>
      <c r="M431" s="19"/>
    </row>
    <row r="432">
      <c r="A432" s="66"/>
      <c r="B432" s="22">
        <v>45124.0</v>
      </c>
      <c r="C432" s="23" t="s">
        <v>642</v>
      </c>
      <c r="D432" s="61" t="s">
        <v>21</v>
      </c>
      <c r="E432" s="27" t="s">
        <v>30</v>
      </c>
      <c r="F432" s="27" t="s">
        <v>117</v>
      </c>
      <c r="G432" s="27" t="s">
        <v>32</v>
      </c>
      <c r="H432" s="27" t="s">
        <v>44</v>
      </c>
      <c r="I432" s="48"/>
      <c r="J432" s="28"/>
      <c r="K432" s="28"/>
      <c r="L432" s="28"/>
      <c r="M432" s="19"/>
    </row>
    <row r="433">
      <c r="A433" s="66"/>
      <c r="B433" s="22">
        <v>44863.0</v>
      </c>
      <c r="C433" s="23" t="s">
        <v>643</v>
      </c>
      <c r="D433" s="61" t="s">
        <v>21</v>
      </c>
      <c r="E433" s="27" t="s">
        <v>30</v>
      </c>
      <c r="F433" s="27" t="s">
        <v>117</v>
      </c>
      <c r="G433" s="27" t="s">
        <v>32</v>
      </c>
      <c r="H433" s="73" t="s">
        <v>35</v>
      </c>
      <c r="I433" s="48"/>
      <c r="J433" s="28"/>
      <c r="K433" s="28"/>
      <c r="L433" s="28"/>
      <c r="M433" s="19"/>
    </row>
    <row r="434">
      <c r="A434" s="66"/>
      <c r="B434" s="71">
        <v>44864.0</v>
      </c>
      <c r="C434" s="23" t="s">
        <v>644</v>
      </c>
      <c r="D434" s="61" t="s">
        <v>21</v>
      </c>
      <c r="E434" s="27" t="s">
        <v>30</v>
      </c>
      <c r="F434" s="27" t="s">
        <v>117</v>
      </c>
      <c r="G434" s="27" t="s">
        <v>32</v>
      </c>
      <c r="H434" s="27" t="s">
        <v>44</v>
      </c>
      <c r="I434" s="48"/>
      <c r="J434" s="28"/>
      <c r="K434" s="28"/>
      <c r="L434" s="28"/>
      <c r="M434" s="19"/>
    </row>
    <row r="435">
      <c r="A435" s="66"/>
      <c r="B435" s="22">
        <v>44866.0</v>
      </c>
      <c r="C435" s="23" t="s">
        <v>645</v>
      </c>
      <c r="D435" s="61" t="s">
        <v>21</v>
      </c>
      <c r="E435" s="27" t="s">
        <v>30</v>
      </c>
      <c r="F435" s="27" t="s">
        <v>117</v>
      </c>
      <c r="G435" s="27" t="s">
        <v>32</v>
      </c>
      <c r="H435" s="73" t="s">
        <v>35</v>
      </c>
      <c r="I435" s="48"/>
      <c r="J435" s="28"/>
      <c r="K435" s="28"/>
      <c r="L435" s="28"/>
      <c r="M435" s="19"/>
    </row>
    <row r="436">
      <c r="A436" s="66"/>
      <c r="B436" s="22">
        <v>44959.0</v>
      </c>
      <c r="C436" s="23" t="s">
        <v>646</v>
      </c>
      <c r="D436" s="61" t="s">
        <v>21</v>
      </c>
      <c r="E436" s="27" t="s">
        <v>334</v>
      </c>
      <c r="F436" s="27" t="s">
        <v>335</v>
      </c>
      <c r="G436" s="27" t="s">
        <v>32</v>
      </c>
      <c r="H436" s="27" t="s">
        <v>52</v>
      </c>
      <c r="I436" s="48"/>
      <c r="J436" s="28"/>
      <c r="K436" s="28"/>
      <c r="L436" s="28"/>
      <c r="M436" s="19"/>
    </row>
    <row r="437">
      <c r="A437" s="66"/>
      <c r="B437" s="22">
        <v>44867.0</v>
      </c>
      <c r="C437" s="23" t="s">
        <v>647</v>
      </c>
      <c r="D437" s="61" t="s">
        <v>21</v>
      </c>
      <c r="E437" s="27" t="s">
        <v>30</v>
      </c>
      <c r="F437" s="27" t="s">
        <v>117</v>
      </c>
      <c r="G437" s="27" t="s">
        <v>32</v>
      </c>
      <c r="H437" s="27" t="s">
        <v>44</v>
      </c>
      <c r="I437" s="48"/>
      <c r="J437" s="28"/>
      <c r="K437" s="28"/>
      <c r="L437" s="28"/>
      <c r="M437" s="19"/>
    </row>
    <row r="438">
      <c r="A438" s="66"/>
      <c r="B438" s="71">
        <v>44870.0</v>
      </c>
      <c r="C438" s="23" t="s">
        <v>648</v>
      </c>
      <c r="D438" s="61" t="s">
        <v>21</v>
      </c>
      <c r="E438" s="27" t="s">
        <v>30</v>
      </c>
      <c r="F438" s="27" t="s">
        <v>117</v>
      </c>
      <c r="G438" s="27" t="s">
        <v>32</v>
      </c>
      <c r="H438" s="27" t="s">
        <v>44</v>
      </c>
      <c r="I438" s="48"/>
      <c r="J438" s="28"/>
      <c r="K438" s="28"/>
      <c r="L438" s="28"/>
      <c r="M438" s="19"/>
    </row>
    <row r="439">
      <c r="A439" s="66"/>
      <c r="B439" s="22">
        <v>45108.0</v>
      </c>
      <c r="C439" s="23" t="s">
        <v>649</v>
      </c>
      <c r="D439" s="61" t="s">
        <v>21</v>
      </c>
      <c r="E439" s="27" t="s">
        <v>359</v>
      </c>
      <c r="F439" s="27" t="s">
        <v>31</v>
      </c>
      <c r="G439" s="27" t="s">
        <v>359</v>
      </c>
      <c r="H439" s="27" t="s">
        <v>44</v>
      </c>
      <c r="I439" s="48"/>
      <c r="J439" s="28"/>
      <c r="K439" s="28"/>
      <c r="L439" s="28"/>
      <c r="M439" s="19"/>
    </row>
    <row r="440">
      <c r="A440" s="66"/>
      <c r="B440" s="22">
        <v>45202.0</v>
      </c>
      <c r="C440" s="23" t="s">
        <v>650</v>
      </c>
      <c r="D440" s="61" t="s">
        <v>21</v>
      </c>
      <c r="E440" s="27" t="s">
        <v>30</v>
      </c>
      <c r="F440" s="27" t="s">
        <v>31</v>
      </c>
      <c r="G440" s="27" t="s">
        <v>32</v>
      </c>
      <c r="H440" s="27" t="s">
        <v>44</v>
      </c>
      <c r="I440" s="48"/>
      <c r="J440" s="28"/>
      <c r="K440" s="28"/>
      <c r="L440" s="28"/>
      <c r="M440" s="19"/>
    </row>
    <row r="441">
      <c r="A441" s="66"/>
      <c r="B441" s="71">
        <v>44875.0</v>
      </c>
      <c r="C441" s="23" t="s">
        <v>651</v>
      </c>
      <c r="D441" s="61" t="s">
        <v>21</v>
      </c>
      <c r="E441" s="27" t="s">
        <v>334</v>
      </c>
      <c r="F441" s="27" t="s">
        <v>335</v>
      </c>
      <c r="G441" s="27" t="s">
        <v>32</v>
      </c>
      <c r="H441" s="27" t="s">
        <v>44</v>
      </c>
      <c r="I441" s="48"/>
      <c r="J441" s="28"/>
      <c r="K441" s="28"/>
      <c r="L441" s="28"/>
      <c r="M441" s="19"/>
    </row>
    <row r="442">
      <c r="A442" s="66"/>
      <c r="B442" s="22">
        <v>44901.0</v>
      </c>
      <c r="C442" s="23" t="s">
        <v>652</v>
      </c>
      <c r="D442" s="61" t="s">
        <v>21</v>
      </c>
      <c r="E442" s="27" t="s">
        <v>30</v>
      </c>
      <c r="F442" s="27" t="s">
        <v>117</v>
      </c>
      <c r="G442" s="27" t="s">
        <v>32</v>
      </c>
      <c r="H442" s="27" t="s">
        <v>44</v>
      </c>
      <c r="I442" s="48"/>
      <c r="J442" s="28"/>
      <c r="K442" s="28"/>
      <c r="L442" s="28"/>
      <c r="M442" s="19"/>
    </row>
    <row r="443">
      <c r="A443" s="66"/>
      <c r="B443" s="22">
        <v>45004.0</v>
      </c>
      <c r="C443" s="23" t="s">
        <v>653</v>
      </c>
      <c r="D443" s="61" t="s">
        <v>21</v>
      </c>
      <c r="E443" s="27" t="s">
        <v>30</v>
      </c>
      <c r="F443" s="27" t="s">
        <v>31</v>
      </c>
      <c r="G443" s="27" t="s">
        <v>32</v>
      </c>
      <c r="H443" s="27" t="s">
        <v>44</v>
      </c>
      <c r="I443" s="48"/>
      <c r="J443" s="28"/>
      <c r="K443" s="28"/>
      <c r="L443" s="28"/>
      <c r="M443" s="19"/>
    </row>
    <row r="444">
      <c r="A444" s="66"/>
      <c r="B444" s="22">
        <v>44962.0</v>
      </c>
      <c r="C444" s="23" t="s">
        <v>654</v>
      </c>
      <c r="D444" s="61" t="s">
        <v>21</v>
      </c>
      <c r="E444" s="27" t="s">
        <v>30</v>
      </c>
      <c r="F444" s="27" t="s">
        <v>31</v>
      </c>
      <c r="G444" s="27" t="s">
        <v>32</v>
      </c>
      <c r="H444" s="27" t="s">
        <v>44</v>
      </c>
      <c r="I444" s="48"/>
      <c r="J444" s="28"/>
      <c r="K444" s="28"/>
      <c r="L444" s="28"/>
      <c r="M444" s="19"/>
    </row>
    <row r="445">
      <c r="A445" s="66"/>
      <c r="B445" s="22">
        <v>45236.0</v>
      </c>
      <c r="C445" s="23" t="s">
        <v>655</v>
      </c>
      <c r="D445" s="61" t="s">
        <v>21</v>
      </c>
      <c r="E445" s="27" t="s">
        <v>30</v>
      </c>
      <c r="F445" s="27" t="s">
        <v>117</v>
      </c>
      <c r="G445" s="27" t="s">
        <v>32</v>
      </c>
      <c r="H445" s="27" t="s">
        <v>44</v>
      </c>
      <c r="I445" s="48"/>
      <c r="J445" s="28"/>
      <c r="K445" s="28"/>
      <c r="L445" s="28"/>
      <c r="M445" s="19"/>
    </row>
    <row r="446">
      <c r="A446" s="66"/>
      <c r="B446" s="71">
        <v>44895.0</v>
      </c>
      <c r="C446" s="23" t="s">
        <v>656</v>
      </c>
      <c r="D446" s="61" t="s">
        <v>21</v>
      </c>
      <c r="E446" s="27" t="s">
        <v>30</v>
      </c>
      <c r="F446" s="27" t="s">
        <v>117</v>
      </c>
      <c r="G446" s="27" t="s">
        <v>32</v>
      </c>
      <c r="H446" s="27" t="s">
        <v>44</v>
      </c>
      <c r="I446" s="48"/>
      <c r="J446" s="28"/>
      <c r="K446" s="28"/>
      <c r="L446" s="28"/>
      <c r="M446" s="19"/>
    </row>
    <row r="447">
      <c r="A447" s="66"/>
      <c r="B447" s="71">
        <v>44895.0</v>
      </c>
      <c r="C447" s="23" t="s">
        <v>657</v>
      </c>
      <c r="D447" s="61" t="s">
        <v>21</v>
      </c>
      <c r="E447" s="27" t="s">
        <v>30</v>
      </c>
      <c r="F447" s="27" t="s">
        <v>31</v>
      </c>
      <c r="G447" s="27" t="s">
        <v>32</v>
      </c>
      <c r="H447" s="27" t="s">
        <v>44</v>
      </c>
      <c r="I447" s="48"/>
      <c r="J447" s="28"/>
      <c r="K447" s="28"/>
      <c r="L447" s="28"/>
      <c r="M447" s="19"/>
    </row>
    <row r="448">
      <c r="A448" s="66"/>
      <c r="B448" s="22">
        <v>45230.0</v>
      </c>
      <c r="C448" s="23" t="s">
        <v>658</v>
      </c>
      <c r="D448" s="61" t="s">
        <v>21</v>
      </c>
      <c r="E448" s="27" t="s">
        <v>30</v>
      </c>
      <c r="F448" s="27" t="s">
        <v>31</v>
      </c>
      <c r="G448" s="27" t="s">
        <v>32</v>
      </c>
      <c r="H448" s="27" t="s">
        <v>44</v>
      </c>
      <c r="I448" s="48"/>
      <c r="J448" s="28"/>
      <c r="K448" s="28"/>
      <c r="L448" s="28"/>
      <c r="M448" s="19"/>
    </row>
    <row r="449">
      <c r="A449" s="66"/>
      <c r="B449" s="22">
        <v>45195.0</v>
      </c>
      <c r="C449" s="23" t="s">
        <v>659</v>
      </c>
      <c r="D449" s="61" t="s">
        <v>21</v>
      </c>
      <c r="E449" s="27" t="s">
        <v>30</v>
      </c>
      <c r="F449" s="27" t="s">
        <v>117</v>
      </c>
      <c r="G449" s="27" t="s">
        <v>32</v>
      </c>
      <c r="H449" s="27" t="s">
        <v>44</v>
      </c>
      <c r="I449" s="48"/>
      <c r="J449" s="28"/>
      <c r="K449" s="28"/>
      <c r="L449" s="28"/>
      <c r="M449" s="19"/>
    </row>
    <row r="450">
      <c r="A450" s="66"/>
      <c r="B450" s="22">
        <v>45186.0</v>
      </c>
      <c r="C450" s="23" t="s">
        <v>660</v>
      </c>
      <c r="D450" s="61" t="s">
        <v>21</v>
      </c>
      <c r="E450" s="27" t="s">
        <v>30</v>
      </c>
      <c r="F450" s="27" t="s">
        <v>31</v>
      </c>
      <c r="G450" s="27" t="s">
        <v>32</v>
      </c>
      <c r="H450" s="27" t="s">
        <v>44</v>
      </c>
      <c r="I450" s="48"/>
      <c r="J450" s="28"/>
      <c r="K450" s="28"/>
      <c r="L450" s="28"/>
      <c r="M450" s="19"/>
    </row>
    <row r="451">
      <c r="A451" s="66"/>
      <c r="B451" s="22">
        <v>45227.0</v>
      </c>
      <c r="C451" s="23" t="s">
        <v>661</v>
      </c>
      <c r="D451" s="61" t="s">
        <v>21</v>
      </c>
      <c r="E451" s="27" t="s">
        <v>30</v>
      </c>
      <c r="F451" s="27" t="s">
        <v>117</v>
      </c>
      <c r="G451" s="27" t="s">
        <v>32</v>
      </c>
      <c r="H451" s="27" t="s">
        <v>44</v>
      </c>
      <c r="I451" s="48"/>
      <c r="J451" s="28"/>
      <c r="K451" s="28"/>
      <c r="L451" s="28"/>
      <c r="M451" s="19"/>
    </row>
    <row r="452">
      <c r="A452" s="66"/>
      <c r="B452" s="30">
        <v>45243.0</v>
      </c>
      <c r="C452" s="23" t="s">
        <v>662</v>
      </c>
      <c r="D452" s="61" t="s">
        <v>21</v>
      </c>
      <c r="E452" s="27" t="s">
        <v>30</v>
      </c>
      <c r="F452" s="27" t="s">
        <v>117</v>
      </c>
      <c r="G452" s="27" t="s">
        <v>32</v>
      </c>
      <c r="H452" s="27" t="s">
        <v>44</v>
      </c>
      <c r="I452" s="48"/>
      <c r="J452" s="28"/>
      <c r="K452" s="28"/>
      <c r="L452" s="28"/>
      <c r="M452" s="19"/>
    </row>
    <row r="453">
      <c r="A453" s="66"/>
      <c r="B453" s="71">
        <v>44898.0</v>
      </c>
      <c r="C453" s="23" t="s">
        <v>663</v>
      </c>
      <c r="D453" s="61" t="s">
        <v>21</v>
      </c>
      <c r="E453" s="27" t="s">
        <v>30</v>
      </c>
      <c r="F453" s="27" t="s">
        <v>117</v>
      </c>
      <c r="G453" s="27" t="s">
        <v>32</v>
      </c>
      <c r="H453" s="27" t="s">
        <v>52</v>
      </c>
      <c r="I453" s="48"/>
      <c r="J453" s="28"/>
      <c r="K453" s="28"/>
      <c r="L453" s="28"/>
      <c r="M453" s="19"/>
    </row>
    <row r="454">
      <c r="A454" s="66"/>
      <c r="B454" s="22">
        <v>44988.0</v>
      </c>
      <c r="C454" s="23" t="s">
        <v>664</v>
      </c>
      <c r="D454" s="61" t="s">
        <v>21</v>
      </c>
      <c r="E454" s="27" t="s">
        <v>30</v>
      </c>
      <c r="F454" s="27" t="s">
        <v>31</v>
      </c>
      <c r="G454" s="27" t="s">
        <v>32</v>
      </c>
      <c r="H454" s="27" t="s">
        <v>44</v>
      </c>
      <c r="I454" s="48"/>
      <c r="J454" s="28"/>
      <c r="K454" s="28"/>
      <c r="L454" s="28"/>
      <c r="M454" s="19"/>
    </row>
    <row r="455">
      <c r="A455" s="66"/>
      <c r="B455" s="22">
        <v>44927.0</v>
      </c>
      <c r="C455" s="23" t="s">
        <v>665</v>
      </c>
      <c r="D455" s="61" t="s">
        <v>21</v>
      </c>
      <c r="E455" s="27" t="s">
        <v>30</v>
      </c>
      <c r="F455" s="27" t="s">
        <v>31</v>
      </c>
      <c r="G455" s="27" t="s">
        <v>32</v>
      </c>
      <c r="H455" s="27" t="s">
        <v>44</v>
      </c>
      <c r="I455" s="48"/>
      <c r="J455" s="28"/>
      <c r="K455" s="28"/>
      <c r="L455" s="28"/>
      <c r="M455" s="19"/>
    </row>
    <row r="456">
      <c r="A456" s="66"/>
      <c r="B456" s="71">
        <v>44900.0</v>
      </c>
      <c r="C456" s="23" t="s">
        <v>666</v>
      </c>
      <c r="D456" s="61" t="s">
        <v>21</v>
      </c>
      <c r="E456" s="27" t="s">
        <v>30</v>
      </c>
      <c r="F456" s="27" t="s">
        <v>31</v>
      </c>
      <c r="G456" s="27" t="s">
        <v>32</v>
      </c>
      <c r="H456" s="27" t="s">
        <v>44</v>
      </c>
      <c r="I456" s="48"/>
      <c r="J456" s="28"/>
      <c r="K456" s="28"/>
      <c r="L456" s="28"/>
      <c r="M456" s="19"/>
    </row>
    <row r="457">
      <c r="A457" s="66"/>
      <c r="B457" s="22">
        <v>45128.0</v>
      </c>
      <c r="C457" s="23" t="s">
        <v>667</v>
      </c>
      <c r="D457" s="61" t="s">
        <v>21</v>
      </c>
      <c r="E457" s="27" t="s">
        <v>30</v>
      </c>
      <c r="F457" s="27" t="s">
        <v>31</v>
      </c>
      <c r="G457" s="27" t="s">
        <v>32</v>
      </c>
      <c r="H457" s="27" t="s">
        <v>44</v>
      </c>
      <c r="I457" s="48"/>
      <c r="J457" s="28"/>
      <c r="K457" s="28"/>
      <c r="L457" s="28"/>
      <c r="M457" s="19"/>
    </row>
    <row r="458">
      <c r="A458" s="66"/>
      <c r="B458" s="71">
        <v>44902.0</v>
      </c>
      <c r="C458" s="23" t="s">
        <v>668</v>
      </c>
      <c r="D458" s="61" t="s">
        <v>21</v>
      </c>
      <c r="E458" s="27" t="s">
        <v>30</v>
      </c>
      <c r="F458" s="27" t="s">
        <v>117</v>
      </c>
      <c r="G458" s="27" t="s">
        <v>32</v>
      </c>
      <c r="H458" s="27" t="s">
        <v>44</v>
      </c>
      <c r="I458" s="48"/>
      <c r="J458" s="28"/>
      <c r="K458" s="28"/>
      <c r="L458" s="28"/>
      <c r="M458" s="19"/>
    </row>
    <row r="459">
      <c r="A459" s="66"/>
      <c r="B459" s="22">
        <v>45186.0</v>
      </c>
      <c r="C459" s="23" t="s">
        <v>669</v>
      </c>
      <c r="D459" s="61" t="s">
        <v>21</v>
      </c>
      <c r="E459" s="27" t="s">
        <v>30</v>
      </c>
      <c r="F459" s="27" t="s">
        <v>117</v>
      </c>
      <c r="G459" s="27" t="s">
        <v>32</v>
      </c>
      <c r="H459" s="27" t="s">
        <v>44</v>
      </c>
      <c r="I459" s="48"/>
      <c r="J459" s="28"/>
      <c r="K459" s="28"/>
      <c r="L459" s="28"/>
      <c r="M459" s="19"/>
    </row>
    <row r="460">
      <c r="A460" s="66"/>
      <c r="B460" s="22">
        <v>45245.0</v>
      </c>
      <c r="C460" s="23" t="s">
        <v>670</v>
      </c>
      <c r="D460" s="61" t="s">
        <v>21</v>
      </c>
      <c r="E460" s="27" t="s">
        <v>30</v>
      </c>
      <c r="F460" s="27" t="s">
        <v>117</v>
      </c>
      <c r="G460" s="27" t="s">
        <v>32</v>
      </c>
      <c r="H460" s="27" t="s">
        <v>44</v>
      </c>
      <c r="I460" s="48"/>
      <c r="J460" s="28"/>
      <c r="K460" s="28"/>
      <c r="L460" s="28"/>
      <c r="M460" s="19"/>
    </row>
    <row r="461">
      <c r="A461" s="66"/>
      <c r="B461" s="22">
        <v>45203.0</v>
      </c>
      <c r="C461" s="23" t="s">
        <v>671</v>
      </c>
      <c r="D461" s="61" t="s">
        <v>21</v>
      </c>
      <c r="E461" s="27" t="s">
        <v>334</v>
      </c>
      <c r="F461" s="27" t="s">
        <v>335</v>
      </c>
      <c r="G461" s="27" t="s">
        <v>32</v>
      </c>
      <c r="H461" s="27" t="s">
        <v>44</v>
      </c>
      <c r="I461" s="48"/>
      <c r="J461" s="28"/>
      <c r="K461" s="28"/>
      <c r="L461" s="28"/>
      <c r="M461" s="19"/>
    </row>
    <row r="462">
      <c r="A462" s="66"/>
      <c r="B462" s="22">
        <v>45231.0</v>
      </c>
      <c r="C462" s="23" t="s">
        <v>672</v>
      </c>
      <c r="D462" s="61" t="s">
        <v>21</v>
      </c>
      <c r="E462" s="27" t="s">
        <v>30</v>
      </c>
      <c r="F462" s="27" t="s">
        <v>31</v>
      </c>
      <c r="G462" s="27" t="s">
        <v>32</v>
      </c>
      <c r="H462" s="27" t="s">
        <v>44</v>
      </c>
      <c r="I462" s="48"/>
      <c r="J462" s="28"/>
      <c r="K462" s="28"/>
      <c r="L462" s="28"/>
      <c r="M462" s="19"/>
    </row>
    <row r="463">
      <c r="A463" s="66"/>
      <c r="B463" s="71">
        <v>44908.0</v>
      </c>
      <c r="C463" s="23" t="s">
        <v>673</v>
      </c>
      <c r="D463" s="61" t="s">
        <v>21</v>
      </c>
      <c r="E463" s="27" t="s">
        <v>334</v>
      </c>
      <c r="F463" s="27" t="s">
        <v>335</v>
      </c>
      <c r="G463" s="27" t="s">
        <v>32</v>
      </c>
      <c r="H463" s="27" t="s">
        <v>52</v>
      </c>
      <c r="I463" s="48"/>
      <c r="J463" s="28"/>
      <c r="K463" s="28"/>
      <c r="L463" s="28"/>
      <c r="M463" s="19"/>
    </row>
    <row r="464">
      <c r="A464" s="66"/>
      <c r="B464" s="71">
        <v>44911.0</v>
      </c>
      <c r="C464" s="23" t="s">
        <v>674</v>
      </c>
      <c r="D464" s="61" t="s">
        <v>21</v>
      </c>
      <c r="E464" s="27" t="s">
        <v>30</v>
      </c>
      <c r="F464" s="27" t="s">
        <v>117</v>
      </c>
      <c r="G464" s="27" t="s">
        <v>32</v>
      </c>
      <c r="H464" s="27" t="s">
        <v>44</v>
      </c>
      <c r="I464" s="48"/>
      <c r="J464" s="28"/>
      <c r="K464" s="28"/>
      <c r="L464" s="28"/>
      <c r="M464" s="19"/>
    </row>
    <row r="465">
      <c r="A465" s="66"/>
      <c r="B465" s="71">
        <v>44911.0</v>
      </c>
      <c r="C465" s="23" t="s">
        <v>675</v>
      </c>
      <c r="D465" s="61" t="s">
        <v>21</v>
      </c>
      <c r="E465" s="27" t="s">
        <v>30</v>
      </c>
      <c r="F465" s="27" t="s">
        <v>117</v>
      </c>
      <c r="G465" s="27" t="s">
        <v>32</v>
      </c>
      <c r="H465" s="27" t="s">
        <v>44</v>
      </c>
      <c r="I465" s="48"/>
      <c r="J465" s="28"/>
      <c r="K465" s="28"/>
      <c r="L465" s="28"/>
      <c r="M465" s="19"/>
    </row>
    <row r="466">
      <c r="A466" s="66"/>
      <c r="B466" s="71">
        <v>44913.0</v>
      </c>
      <c r="C466" s="23" t="s">
        <v>676</v>
      </c>
      <c r="D466" s="61" t="s">
        <v>21</v>
      </c>
      <c r="E466" s="27" t="s">
        <v>30</v>
      </c>
      <c r="F466" s="27" t="s">
        <v>117</v>
      </c>
      <c r="G466" s="27" t="s">
        <v>32</v>
      </c>
      <c r="H466" s="27" t="s">
        <v>44</v>
      </c>
      <c r="I466" s="48"/>
      <c r="J466" s="28"/>
      <c r="K466" s="28"/>
      <c r="L466" s="28"/>
      <c r="M466" s="19"/>
    </row>
    <row r="467">
      <c r="A467" s="66"/>
      <c r="B467" s="22">
        <v>45238.0</v>
      </c>
      <c r="C467" s="23" t="s">
        <v>677</v>
      </c>
      <c r="D467" s="61" t="s">
        <v>21</v>
      </c>
      <c r="E467" s="27" t="s">
        <v>334</v>
      </c>
      <c r="F467" s="27" t="s">
        <v>335</v>
      </c>
      <c r="G467" s="27" t="s">
        <v>32</v>
      </c>
      <c r="H467" s="27" t="s">
        <v>44</v>
      </c>
      <c r="I467" s="48"/>
      <c r="J467" s="28"/>
      <c r="K467" s="28"/>
      <c r="L467" s="28"/>
      <c r="M467" s="19"/>
    </row>
    <row r="468">
      <c r="A468" s="66"/>
      <c r="B468" s="22">
        <v>45186.0</v>
      </c>
      <c r="C468" s="23" t="s">
        <v>678</v>
      </c>
      <c r="D468" s="61" t="s">
        <v>21</v>
      </c>
      <c r="E468" s="27" t="s">
        <v>30</v>
      </c>
      <c r="F468" s="27" t="s">
        <v>31</v>
      </c>
      <c r="G468" s="27" t="s">
        <v>32</v>
      </c>
      <c r="H468" s="27" t="s">
        <v>44</v>
      </c>
      <c r="I468" s="48"/>
      <c r="J468" s="28"/>
      <c r="K468" s="28"/>
      <c r="L468" s="28"/>
      <c r="M468" s="19"/>
    </row>
    <row r="469">
      <c r="A469" s="66"/>
      <c r="B469" s="71">
        <v>44923.0</v>
      </c>
      <c r="C469" s="23" t="s">
        <v>679</v>
      </c>
      <c r="D469" s="61" t="s">
        <v>21</v>
      </c>
      <c r="E469" s="27" t="s">
        <v>30</v>
      </c>
      <c r="F469" s="27" t="s">
        <v>117</v>
      </c>
      <c r="G469" s="27" t="s">
        <v>32</v>
      </c>
      <c r="H469" s="27" t="s">
        <v>44</v>
      </c>
      <c r="I469" s="48"/>
      <c r="J469" s="28"/>
      <c r="K469" s="28"/>
      <c r="L469" s="28"/>
      <c r="M469" s="19"/>
    </row>
    <row r="470">
      <c r="A470" s="66"/>
      <c r="B470" s="22">
        <v>45032.0</v>
      </c>
      <c r="C470" s="23" t="s">
        <v>680</v>
      </c>
      <c r="D470" s="61" t="s">
        <v>21</v>
      </c>
      <c r="E470" s="27" t="s">
        <v>359</v>
      </c>
      <c r="F470" s="27" t="s">
        <v>117</v>
      </c>
      <c r="G470" s="27" t="s">
        <v>32</v>
      </c>
      <c r="H470" s="27" t="s">
        <v>44</v>
      </c>
      <c r="I470" s="48"/>
      <c r="J470" s="28"/>
      <c r="K470" s="28"/>
      <c r="L470" s="28"/>
      <c r="M470" s="19"/>
    </row>
    <row r="471">
      <c r="A471" s="66"/>
      <c r="B471" s="22">
        <v>45090.0</v>
      </c>
      <c r="C471" s="23" t="s">
        <v>681</v>
      </c>
      <c r="D471" s="61" t="s">
        <v>21</v>
      </c>
      <c r="E471" s="27" t="s">
        <v>30</v>
      </c>
      <c r="F471" s="27" t="s">
        <v>31</v>
      </c>
      <c r="G471" s="27" t="s">
        <v>32</v>
      </c>
      <c r="H471" s="27" t="s">
        <v>44</v>
      </c>
      <c r="I471" s="48"/>
      <c r="J471" s="28"/>
      <c r="K471" s="28"/>
      <c r="L471" s="28"/>
      <c r="M471" s="19"/>
    </row>
    <row r="472">
      <c r="A472" s="66"/>
      <c r="B472" s="22">
        <v>44930.0</v>
      </c>
      <c r="C472" s="23" t="s">
        <v>682</v>
      </c>
      <c r="D472" s="61" t="s">
        <v>21</v>
      </c>
      <c r="E472" s="27" t="s">
        <v>376</v>
      </c>
      <c r="F472" s="27" t="s">
        <v>424</v>
      </c>
      <c r="G472" s="27" t="s">
        <v>390</v>
      </c>
      <c r="H472" s="27" t="s">
        <v>35</v>
      </c>
      <c r="I472" s="48"/>
      <c r="J472" s="28"/>
      <c r="K472" s="28"/>
      <c r="L472" s="28"/>
      <c r="M472" s="19"/>
    </row>
    <row r="473">
      <c r="A473" s="66"/>
      <c r="B473" s="22">
        <v>44931.0</v>
      </c>
      <c r="C473" s="23" t="s">
        <v>683</v>
      </c>
      <c r="D473" s="61" t="s">
        <v>21</v>
      </c>
      <c r="E473" s="27" t="s">
        <v>334</v>
      </c>
      <c r="F473" s="27" t="s">
        <v>335</v>
      </c>
      <c r="G473" s="27" t="s">
        <v>32</v>
      </c>
      <c r="H473" s="27" t="s">
        <v>35</v>
      </c>
      <c r="I473" s="48"/>
      <c r="J473" s="28"/>
      <c r="K473" s="28"/>
      <c r="L473" s="28"/>
      <c r="M473" s="19"/>
    </row>
    <row r="474">
      <c r="A474" s="66"/>
      <c r="B474" s="71">
        <v>44924.0</v>
      </c>
      <c r="C474" s="23" t="s">
        <v>684</v>
      </c>
      <c r="D474" s="61" t="s">
        <v>21</v>
      </c>
      <c r="E474" s="27" t="s">
        <v>334</v>
      </c>
      <c r="F474" s="27" t="s">
        <v>335</v>
      </c>
      <c r="G474" s="27" t="s">
        <v>32</v>
      </c>
      <c r="H474" s="27" t="s">
        <v>44</v>
      </c>
      <c r="I474" s="48"/>
      <c r="J474" s="28"/>
      <c r="K474" s="28"/>
      <c r="L474" s="28"/>
      <c r="M474" s="19"/>
    </row>
    <row r="475">
      <c r="A475" s="66"/>
      <c r="B475" s="22">
        <v>45157.0</v>
      </c>
      <c r="C475" s="23" t="s">
        <v>685</v>
      </c>
      <c r="D475" s="61" t="s">
        <v>21</v>
      </c>
      <c r="E475" s="27" t="s">
        <v>30</v>
      </c>
      <c r="F475" s="27" t="s">
        <v>117</v>
      </c>
      <c r="G475" s="27" t="s">
        <v>32</v>
      </c>
      <c r="H475" s="27" t="s">
        <v>44</v>
      </c>
      <c r="I475" s="48"/>
      <c r="J475" s="28"/>
      <c r="K475" s="28"/>
      <c r="L475" s="28"/>
      <c r="M475" s="19"/>
    </row>
    <row r="476">
      <c r="A476" s="66"/>
      <c r="B476" s="22">
        <v>44937.0</v>
      </c>
      <c r="C476" s="23" t="s">
        <v>686</v>
      </c>
      <c r="D476" s="61" t="s">
        <v>21</v>
      </c>
      <c r="E476" s="27" t="s">
        <v>392</v>
      </c>
      <c r="F476" s="27" t="s">
        <v>424</v>
      </c>
      <c r="G476" s="27" t="s">
        <v>390</v>
      </c>
      <c r="H476" s="27" t="s">
        <v>44</v>
      </c>
      <c r="I476" s="48"/>
      <c r="J476" s="28"/>
      <c r="K476" s="28"/>
      <c r="L476" s="28"/>
      <c r="M476" s="19"/>
    </row>
    <row r="477">
      <c r="A477" s="66"/>
      <c r="B477" s="22">
        <v>45013.0</v>
      </c>
      <c r="C477" s="23" t="s">
        <v>687</v>
      </c>
      <c r="D477" s="61" t="s">
        <v>21</v>
      </c>
      <c r="E477" s="27" t="s">
        <v>30</v>
      </c>
      <c r="F477" s="27" t="s">
        <v>31</v>
      </c>
      <c r="G477" s="27" t="s">
        <v>32</v>
      </c>
      <c r="H477" s="27" t="s">
        <v>44</v>
      </c>
      <c r="I477" s="48"/>
      <c r="J477" s="28"/>
      <c r="K477" s="28"/>
      <c r="L477" s="28"/>
      <c r="M477" s="19"/>
    </row>
    <row r="478">
      <c r="A478" s="66"/>
      <c r="B478" s="71">
        <v>44938.0</v>
      </c>
      <c r="C478" s="23" t="s">
        <v>688</v>
      </c>
      <c r="D478" s="61" t="s">
        <v>21</v>
      </c>
      <c r="E478" s="27" t="s">
        <v>30</v>
      </c>
      <c r="F478" s="27" t="s">
        <v>117</v>
      </c>
      <c r="G478" s="27" t="s">
        <v>32</v>
      </c>
      <c r="H478" s="27" t="s">
        <v>44</v>
      </c>
      <c r="I478" s="48"/>
      <c r="J478" s="28"/>
      <c r="K478" s="28"/>
      <c r="L478" s="28"/>
      <c r="M478" s="19"/>
    </row>
    <row r="479">
      <c r="A479" s="66"/>
      <c r="B479" s="22">
        <v>45233.0</v>
      </c>
      <c r="C479" s="23" t="s">
        <v>689</v>
      </c>
      <c r="D479" s="61" t="s">
        <v>21</v>
      </c>
      <c r="E479" s="27" t="s">
        <v>30</v>
      </c>
      <c r="F479" s="27" t="s">
        <v>117</v>
      </c>
      <c r="G479" s="27" t="s">
        <v>32</v>
      </c>
      <c r="H479" s="27" t="s">
        <v>44</v>
      </c>
      <c r="I479" s="48"/>
      <c r="J479" s="28"/>
      <c r="K479" s="28"/>
      <c r="L479" s="28"/>
      <c r="M479" s="19"/>
    </row>
    <row r="480">
      <c r="A480" s="66"/>
      <c r="B480" s="71">
        <v>44940.0</v>
      </c>
      <c r="C480" s="23" t="s">
        <v>690</v>
      </c>
      <c r="D480" s="61" t="s">
        <v>21</v>
      </c>
      <c r="E480" s="27" t="s">
        <v>30</v>
      </c>
      <c r="F480" s="27" t="s">
        <v>117</v>
      </c>
      <c r="G480" s="27" t="s">
        <v>32</v>
      </c>
      <c r="H480" s="27" t="s">
        <v>44</v>
      </c>
      <c r="I480" s="48"/>
      <c r="J480" s="28"/>
      <c r="K480" s="28"/>
      <c r="L480" s="28"/>
      <c r="M480" s="19"/>
    </row>
    <row r="481">
      <c r="A481" s="66"/>
      <c r="B481" s="22">
        <v>45171.0</v>
      </c>
      <c r="C481" s="23" t="s">
        <v>691</v>
      </c>
      <c r="D481" s="61" t="s">
        <v>21</v>
      </c>
      <c r="E481" s="27" t="s">
        <v>30</v>
      </c>
      <c r="F481" s="27" t="s">
        <v>117</v>
      </c>
      <c r="G481" s="27" t="s">
        <v>32</v>
      </c>
      <c r="H481" s="27" t="s">
        <v>44</v>
      </c>
      <c r="I481" s="48"/>
      <c r="J481" s="28"/>
      <c r="K481" s="28"/>
      <c r="L481" s="28"/>
      <c r="M481" s="19"/>
    </row>
    <row r="482">
      <c r="A482" s="66"/>
      <c r="B482" s="71">
        <v>44941.0</v>
      </c>
      <c r="C482" s="23" t="s">
        <v>692</v>
      </c>
      <c r="D482" s="61" t="s">
        <v>21</v>
      </c>
      <c r="E482" s="27" t="s">
        <v>334</v>
      </c>
      <c r="F482" s="27" t="s">
        <v>337</v>
      </c>
      <c r="G482" s="27" t="s">
        <v>32</v>
      </c>
      <c r="H482" s="27" t="s">
        <v>44</v>
      </c>
      <c r="I482" s="48"/>
      <c r="J482" s="28"/>
      <c r="K482" s="28"/>
      <c r="L482" s="28"/>
      <c r="M482" s="19"/>
    </row>
    <row r="483">
      <c r="A483" s="66"/>
      <c r="B483" s="22">
        <v>45117.0</v>
      </c>
      <c r="C483" s="23" t="s">
        <v>693</v>
      </c>
      <c r="D483" s="61" t="s">
        <v>21</v>
      </c>
      <c r="E483" s="27" t="s">
        <v>30</v>
      </c>
      <c r="F483" s="27" t="s">
        <v>117</v>
      </c>
      <c r="G483" s="27" t="s">
        <v>32</v>
      </c>
      <c r="H483" s="27" t="s">
        <v>44</v>
      </c>
      <c r="I483" s="48"/>
      <c r="J483" s="28"/>
      <c r="K483" s="28"/>
      <c r="L483" s="28"/>
      <c r="M483" s="19"/>
    </row>
    <row r="484">
      <c r="A484" s="66"/>
      <c r="B484" s="22">
        <v>45031.0</v>
      </c>
      <c r="C484" s="23" t="s">
        <v>694</v>
      </c>
      <c r="D484" s="61" t="s">
        <v>21</v>
      </c>
      <c r="E484" s="27" t="s">
        <v>30</v>
      </c>
      <c r="F484" s="27" t="s">
        <v>117</v>
      </c>
      <c r="G484" s="27" t="s">
        <v>32</v>
      </c>
      <c r="H484" s="27" t="s">
        <v>44</v>
      </c>
      <c r="I484" s="48"/>
      <c r="J484" s="28"/>
      <c r="K484" s="28"/>
      <c r="L484" s="28"/>
      <c r="M484" s="19"/>
    </row>
    <row r="485">
      <c r="A485" s="66"/>
      <c r="B485" s="71">
        <v>44945.0</v>
      </c>
      <c r="C485" s="23" t="s">
        <v>695</v>
      </c>
      <c r="D485" s="61" t="s">
        <v>21</v>
      </c>
      <c r="E485" s="27" t="s">
        <v>334</v>
      </c>
      <c r="F485" s="27" t="s">
        <v>337</v>
      </c>
      <c r="G485" s="27" t="s">
        <v>32</v>
      </c>
      <c r="H485" s="27" t="s">
        <v>44</v>
      </c>
      <c r="I485" s="48"/>
      <c r="J485" s="28"/>
      <c r="K485" s="28"/>
      <c r="L485" s="28"/>
      <c r="M485" s="19"/>
    </row>
    <row r="486">
      <c r="A486" s="66"/>
      <c r="B486" s="22">
        <v>45245.0</v>
      </c>
      <c r="C486" s="23" t="s">
        <v>696</v>
      </c>
      <c r="D486" s="61" t="s">
        <v>21</v>
      </c>
      <c r="E486" s="27" t="s">
        <v>376</v>
      </c>
      <c r="F486" s="27" t="s">
        <v>117</v>
      </c>
      <c r="G486" s="27" t="s">
        <v>32</v>
      </c>
      <c r="H486" s="27" t="s">
        <v>44</v>
      </c>
      <c r="I486" s="48"/>
      <c r="J486" s="28"/>
      <c r="K486" s="28"/>
      <c r="L486" s="28"/>
      <c r="M486" s="19"/>
    </row>
    <row r="487">
      <c r="A487" s="66"/>
      <c r="B487" s="71">
        <v>44949.0</v>
      </c>
      <c r="C487" s="23" t="s">
        <v>697</v>
      </c>
      <c r="D487" s="61" t="s">
        <v>21</v>
      </c>
      <c r="E487" s="27" t="s">
        <v>376</v>
      </c>
      <c r="F487" s="27" t="s">
        <v>379</v>
      </c>
      <c r="G487" s="27" t="s">
        <v>32</v>
      </c>
      <c r="H487" s="27" t="s">
        <v>44</v>
      </c>
      <c r="I487" s="48"/>
      <c r="J487" s="28"/>
      <c r="K487" s="28"/>
      <c r="L487" s="28"/>
      <c r="M487" s="19"/>
    </row>
    <row r="488">
      <c r="A488" s="66"/>
      <c r="B488" s="22">
        <v>45219.0</v>
      </c>
      <c r="C488" s="23" t="s">
        <v>698</v>
      </c>
      <c r="D488" s="61" t="s">
        <v>21</v>
      </c>
      <c r="E488" s="27" t="s">
        <v>30</v>
      </c>
      <c r="F488" s="27" t="s">
        <v>31</v>
      </c>
      <c r="G488" s="27" t="s">
        <v>32</v>
      </c>
      <c r="H488" s="27" t="s">
        <v>44</v>
      </c>
      <c r="I488" s="48"/>
      <c r="J488" s="28"/>
      <c r="K488" s="28"/>
      <c r="L488" s="28"/>
      <c r="M488" s="19"/>
    </row>
    <row r="489">
      <c r="A489" s="66"/>
      <c r="B489" s="22">
        <v>45012.0</v>
      </c>
      <c r="C489" s="23" t="s">
        <v>699</v>
      </c>
      <c r="D489" s="61" t="s">
        <v>21</v>
      </c>
      <c r="E489" s="27" t="s">
        <v>30</v>
      </c>
      <c r="F489" s="27" t="s">
        <v>117</v>
      </c>
      <c r="G489" s="27" t="s">
        <v>32</v>
      </c>
      <c r="H489" s="27" t="s">
        <v>44</v>
      </c>
      <c r="I489" s="48"/>
      <c r="J489" s="28"/>
      <c r="K489" s="28"/>
      <c r="L489" s="28"/>
      <c r="M489" s="19"/>
    </row>
    <row r="490">
      <c r="A490" s="66"/>
      <c r="B490" s="22">
        <v>45094.0</v>
      </c>
      <c r="C490" s="23" t="s">
        <v>700</v>
      </c>
      <c r="D490" s="61" t="s">
        <v>21</v>
      </c>
      <c r="E490" s="27" t="s">
        <v>30</v>
      </c>
      <c r="F490" s="27" t="s">
        <v>117</v>
      </c>
      <c r="G490" s="27" t="s">
        <v>32</v>
      </c>
      <c r="H490" s="27" t="s">
        <v>44</v>
      </c>
      <c r="I490" s="48"/>
      <c r="J490" s="28"/>
      <c r="K490" s="28"/>
      <c r="L490" s="28"/>
      <c r="M490" s="19"/>
    </row>
    <row r="491">
      <c r="A491" s="66"/>
      <c r="B491" s="22">
        <v>45210.0</v>
      </c>
      <c r="C491" s="23" t="s">
        <v>701</v>
      </c>
      <c r="D491" s="61" t="s">
        <v>21</v>
      </c>
      <c r="E491" s="27" t="s">
        <v>376</v>
      </c>
      <c r="F491" s="27" t="s">
        <v>117</v>
      </c>
      <c r="G491" s="27" t="s">
        <v>32</v>
      </c>
      <c r="H491" s="27" t="s">
        <v>44</v>
      </c>
      <c r="I491" s="48"/>
      <c r="J491" s="28"/>
      <c r="K491" s="28"/>
      <c r="L491" s="28"/>
      <c r="M491" s="19"/>
    </row>
    <row r="492">
      <c r="A492" s="66"/>
      <c r="B492" s="22">
        <v>45207.0</v>
      </c>
      <c r="C492" s="23" t="s">
        <v>702</v>
      </c>
      <c r="D492" s="61" t="s">
        <v>21</v>
      </c>
      <c r="E492" s="27" t="s">
        <v>30</v>
      </c>
      <c r="F492" s="27" t="s">
        <v>117</v>
      </c>
      <c r="G492" s="27" t="s">
        <v>32</v>
      </c>
      <c r="H492" s="27" t="s">
        <v>44</v>
      </c>
      <c r="I492" s="48"/>
      <c r="J492" s="28"/>
      <c r="K492" s="28"/>
      <c r="L492" s="28"/>
      <c r="M492" s="19"/>
    </row>
    <row r="493">
      <c r="A493" s="66"/>
      <c r="B493" s="22">
        <v>45036.0</v>
      </c>
      <c r="C493" s="23" t="s">
        <v>703</v>
      </c>
      <c r="D493" s="61" t="s">
        <v>21</v>
      </c>
      <c r="E493" s="27" t="s">
        <v>30</v>
      </c>
      <c r="F493" s="27" t="s">
        <v>117</v>
      </c>
      <c r="G493" s="27" t="s">
        <v>32</v>
      </c>
      <c r="H493" s="27" t="s">
        <v>44</v>
      </c>
      <c r="I493" s="48"/>
      <c r="J493" s="28"/>
      <c r="K493" s="28"/>
      <c r="L493" s="28"/>
      <c r="M493" s="19"/>
    </row>
    <row r="494">
      <c r="A494" s="66"/>
      <c r="B494" s="71">
        <v>44943.0</v>
      </c>
      <c r="C494" s="23" t="s">
        <v>704</v>
      </c>
      <c r="D494" s="61" t="s">
        <v>21</v>
      </c>
      <c r="E494" s="27" t="s">
        <v>334</v>
      </c>
      <c r="F494" s="27" t="s">
        <v>337</v>
      </c>
      <c r="G494" s="27" t="s">
        <v>359</v>
      </c>
      <c r="H494" s="27" t="s">
        <v>35</v>
      </c>
      <c r="I494" s="48"/>
      <c r="J494" s="28"/>
      <c r="K494" s="28"/>
      <c r="L494" s="28"/>
      <c r="M494" s="19"/>
    </row>
    <row r="495">
      <c r="A495" s="66"/>
      <c r="B495" s="22">
        <v>45238.0</v>
      </c>
      <c r="C495" s="23" t="s">
        <v>705</v>
      </c>
      <c r="D495" s="61" t="s">
        <v>21</v>
      </c>
      <c r="E495" s="27" t="s">
        <v>30</v>
      </c>
      <c r="F495" s="27" t="s">
        <v>117</v>
      </c>
      <c r="G495" s="27" t="s">
        <v>32</v>
      </c>
      <c r="H495" s="27" t="s">
        <v>44</v>
      </c>
      <c r="I495" s="48"/>
      <c r="J495" s="28"/>
      <c r="K495" s="28"/>
      <c r="L495" s="28"/>
      <c r="M495" s="19"/>
    </row>
    <row r="496">
      <c r="A496" s="66"/>
      <c r="B496" s="22">
        <v>45172.0</v>
      </c>
      <c r="C496" s="23" t="s">
        <v>706</v>
      </c>
      <c r="D496" s="61" t="s">
        <v>21</v>
      </c>
      <c r="E496" s="27" t="s">
        <v>30</v>
      </c>
      <c r="F496" s="27" t="s">
        <v>31</v>
      </c>
      <c r="G496" s="27" t="s">
        <v>32</v>
      </c>
      <c r="H496" s="27" t="s">
        <v>44</v>
      </c>
      <c r="I496" s="48"/>
      <c r="J496" s="28"/>
      <c r="K496" s="28"/>
      <c r="L496" s="28"/>
      <c r="M496" s="19"/>
    </row>
    <row r="497">
      <c r="A497" s="66"/>
      <c r="B497" s="22">
        <v>45241.0</v>
      </c>
      <c r="C497" s="23" t="s">
        <v>707</v>
      </c>
      <c r="D497" s="61" t="s">
        <v>21</v>
      </c>
      <c r="E497" s="27" t="s">
        <v>30</v>
      </c>
      <c r="F497" s="27" t="s">
        <v>31</v>
      </c>
      <c r="G497" s="27" t="s">
        <v>32</v>
      </c>
      <c r="H497" s="27" t="s">
        <v>44</v>
      </c>
      <c r="I497" s="48"/>
      <c r="J497" s="28"/>
      <c r="K497" s="28"/>
      <c r="L497" s="28"/>
      <c r="M497" s="19"/>
    </row>
    <row r="498">
      <c r="A498" s="66"/>
      <c r="B498" s="22">
        <v>44964.0</v>
      </c>
      <c r="C498" s="23" t="s">
        <v>708</v>
      </c>
      <c r="D498" s="61" t="s">
        <v>21</v>
      </c>
      <c r="E498" s="27" t="s">
        <v>30</v>
      </c>
      <c r="F498" s="27" t="s">
        <v>117</v>
      </c>
      <c r="G498" s="27" t="s">
        <v>32</v>
      </c>
      <c r="H498" s="27" t="s">
        <v>35</v>
      </c>
      <c r="I498" s="48"/>
      <c r="J498" s="28"/>
      <c r="K498" s="28"/>
      <c r="L498" s="28"/>
      <c r="M498" s="19"/>
    </row>
    <row r="499">
      <c r="A499" s="66"/>
      <c r="B499" s="22">
        <v>45204.0</v>
      </c>
      <c r="C499" s="23" t="s">
        <v>709</v>
      </c>
      <c r="D499" s="61" t="s">
        <v>21</v>
      </c>
      <c r="E499" s="27" t="s">
        <v>30</v>
      </c>
      <c r="F499" s="27" t="s">
        <v>117</v>
      </c>
      <c r="G499" s="27" t="s">
        <v>32</v>
      </c>
      <c r="H499" s="27" t="s">
        <v>44</v>
      </c>
      <c r="I499" s="48"/>
      <c r="J499" s="28"/>
      <c r="K499" s="28"/>
      <c r="L499" s="28"/>
      <c r="M499" s="19"/>
    </row>
    <row r="500">
      <c r="A500" s="66"/>
      <c r="B500" s="71">
        <v>44967.0</v>
      </c>
      <c r="C500" s="23" t="s">
        <v>710</v>
      </c>
      <c r="D500" s="61" t="s">
        <v>21</v>
      </c>
      <c r="E500" s="27" t="s">
        <v>334</v>
      </c>
      <c r="F500" s="27" t="s">
        <v>337</v>
      </c>
      <c r="G500" s="27" t="s">
        <v>32</v>
      </c>
      <c r="H500" s="27" t="s">
        <v>44</v>
      </c>
      <c r="I500" s="48"/>
      <c r="J500" s="28"/>
      <c r="K500" s="28"/>
      <c r="L500" s="28"/>
      <c r="M500" s="19"/>
    </row>
    <row r="501">
      <c r="A501" s="66"/>
      <c r="B501" s="71">
        <v>44969.0</v>
      </c>
      <c r="C501" s="23" t="s">
        <v>711</v>
      </c>
      <c r="D501" s="61" t="s">
        <v>21</v>
      </c>
      <c r="E501" s="27" t="s">
        <v>334</v>
      </c>
      <c r="F501" s="27" t="s">
        <v>337</v>
      </c>
      <c r="G501" s="27" t="s">
        <v>32</v>
      </c>
      <c r="H501" s="27" t="s">
        <v>52</v>
      </c>
      <c r="I501" s="48"/>
      <c r="J501" s="28"/>
      <c r="K501" s="28"/>
      <c r="L501" s="28"/>
      <c r="M501" s="19"/>
    </row>
    <row r="502">
      <c r="A502" s="66"/>
      <c r="B502" s="22">
        <v>45160.0</v>
      </c>
      <c r="C502" s="23" t="s">
        <v>712</v>
      </c>
      <c r="D502" s="61" t="s">
        <v>21</v>
      </c>
      <c r="E502" s="27" t="s">
        <v>30</v>
      </c>
      <c r="F502" s="27" t="s">
        <v>117</v>
      </c>
      <c r="G502" s="27" t="s">
        <v>32</v>
      </c>
      <c r="H502" s="27" t="s">
        <v>44</v>
      </c>
      <c r="I502" s="48"/>
      <c r="J502" s="28"/>
      <c r="K502" s="28"/>
      <c r="L502" s="28"/>
      <c r="M502" s="19"/>
    </row>
    <row r="503">
      <c r="A503" s="66"/>
      <c r="B503" s="71">
        <v>44974.0</v>
      </c>
      <c r="C503" s="23" t="s">
        <v>713</v>
      </c>
      <c r="D503" s="61" t="s">
        <v>21</v>
      </c>
      <c r="E503" s="27" t="s">
        <v>30</v>
      </c>
      <c r="F503" s="27" t="s">
        <v>117</v>
      </c>
      <c r="G503" s="27" t="s">
        <v>32</v>
      </c>
      <c r="H503" s="27" t="s">
        <v>44</v>
      </c>
      <c r="I503" s="48"/>
      <c r="J503" s="28"/>
      <c r="K503" s="28"/>
      <c r="L503" s="28"/>
      <c r="M503" s="19"/>
    </row>
    <row r="504">
      <c r="A504" s="66"/>
      <c r="B504" s="22">
        <v>44975.0</v>
      </c>
      <c r="C504" s="23" t="s">
        <v>714</v>
      </c>
      <c r="D504" s="61" t="s">
        <v>21</v>
      </c>
      <c r="E504" s="27" t="s">
        <v>30</v>
      </c>
      <c r="F504" s="27" t="s">
        <v>117</v>
      </c>
      <c r="G504" s="27" t="s">
        <v>32</v>
      </c>
      <c r="H504" s="27" t="s">
        <v>35</v>
      </c>
      <c r="I504" s="48"/>
      <c r="J504" s="28"/>
      <c r="K504" s="28"/>
      <c r="L504" s="28"/>
      <c r="M504" s="19"/>
    </row>
    <row r="505">
      <c r="A505" s="66"/>
      <c r="B505" s="71">
        <v>44976.0</v>
      </c>
      <c r="C505" s="23" t="s">
        <v>715</v>
      </c>
      <c r="D505" s="61" t="s">
        <v>21</v>
      </c>
      <c r="E505" s="27" t="s">
        <v>392</v>
      </c>
      <c r="F505" s="27" t="s">
        <v>31</v>
      </c>
      <c r="G505" s="27" t="s">
        <v>390</v>
      </c>
      <c r="H505" s="27" t="s">
        <v>44</v>
      </c>
      <c r="I505" s="48"/>
      <c r="J505" s="28"/>
      <c r="K505" s="28"/>
      <c r="L505" s="28"/>
      <c r="M505" s="19"/>
    </row>
    <row r="506">
      <c r="A506" s="66"/>
      <c r="B506" s="71">
        <v>44978.0</v>
      </c>
      <c r="C506" s="23" t="s">
        <v>716</v>
      </c>
      <c r="D506" s="61" t="s">
        <v>21</v>
      </c>
      <c r="E506" s="27" t="s">
        <v>30</v>
      </c>
      <c r="F506" s="27" t="s">
        <v>117</v>
      </c>
      <c r="G506" s="27" t="s">
        <v>390</v>
      </c>
      <c r="H506" s="27" t="s">
        <v>44</v>
      </c>
      <c r="I506" s="48"/>
      <c r="J506" s="28"/>
      <c r="K506" s="28"/>
      <c r="L506" s="28"/>
      <c r="M506" s="19"/>
    </row>
    <row r="507">
      <c r="A507" s="66"/>
      <c r="B507" s="22">
        <v>45107.0</v>
      </c>
      <c r="C507" s="23" t="s">
        <v>717</v>
      </c>
      <c r="D507" s="61" t="s">
        <v>21</v>
      </c>
      <c r="E507" s="27" t="s">
        <v>30</v>
      </c>
      <c r="F507" s="27" t="s">
        <v>117</v>
      </c>
      <c r="G507" s="27" t="s">
        <v>32</v>
      </c>
      <c r="H507" s="27" t="s">
        <v>44</v>
      </c>
      <c r="I507" s="48"/>
      <c r="J507" s="28"/>
      <c r="K507" s="28"/>
      <c r="L507" s="28"/>
      <c r="M507" s="19"/>
    </row>
    <row r="508">
      <c r="A508" s="66"/>
      <c r="B508" s="22">
        <v>45240.0</v>
      </c>
      <c r="C508" s="23" t="s">
        <v>718</v>
      </c>
      <c r="D508" s="61" t="s">
        <v>21</v>
      </c>
      <c r="E508" s="27" t="s">
        <v>30</v>
      </c>
      <c r="F508" s="27" t="s">
        <v>117</v>
      </c>
      <c r="G508" s="27" t="s">
        <v>32</v>
      </c>
      <c r="H508" s="27" t="s">
        <v>44</v>
      </c>
      <c r="I508" s="48"/>
      <c r="J508" s="28"/>
      <c r="K508" s="28"/>
      <c r="L508" s="28"/>
      <c r="M508" s="19"/>
    </row>
    <row r="509">
      <c r="A509" s="66"/>
      <c r="B509" s="22">
        <v>45242.0</v>
      </c>
      <c r="C509" s="23" t="s">
        <v>719</v>
      </c>
      <c r="D509" s="61" t="s">
        <v>21</v>
      </c>
      <c r="E509" s="27" t="s">
        <v>30</v>
      </c>
      <c r="F509" s="27" t="s">
        <v>117</v>
      </c>
      <c r="G509" s="27" t="s">
        <v>32</v>
      </c>
      <c r="H509" s="27" t="s">
        <v>44</v>
      </c>
      <c r="I509" s="48"/>
      <c r="J509" s="28"/>
      <c r="K509" s="28"/>
      <c r="L509" s="28"/>
      <c r="M509" s="19"/>
    </row>
    <row r="510">
      <c r="A510" s="66"/>
      <c r="B510" s="22">
        <v>44998.0</v>
      </c>
      <c r="C510" s="23" t="s">
        <v>720</v>
      </c>
      <c r="D510" s="61" t="s">
        <v>21</v>
      </c>
      <c r="E510" s="27" t="s">
        <v>30</v>
      </c>
      <c r="F510" s="27" t="s">
        <v>117</v>
      </c>
      <c r="G510" s="27" t="s">
        <v>32</v>
      </c>
      <c r="H510" s="27" t="s">
        <v>44</v>
      </c>
      <c r="I510" s="48"/>
      <c r="J510" s="28"/>
      <c r="K510" s="28"/>
      <c r="L510" s="28"/>
      <c r="M510" s="19"/>
    </row>
    <row r="511">
      <c r="A511" s="66"/>
      <c r="B511" s="22">
        <v>45214.0</v>
      </c>
      <c r="C511" s="23" t="s">
        <v>721</v>
      </c>
      <c r="D511" s="61" t="s">
        <v>21</v>
      </c>
      <c r="E511" s="27" t="s">
        <v>30</v>
      </c>
      <c r="F511" s="27" t="s">
        <v>31</v>
      </c>
      <c r="G511" s="27" t="s">
        <v>32</v>
      </c>
      <c r="H511" s="27" t="s">
        <v>44</v>
      </c>
      <c r="I511" s="48"/>
      <c r="J511" s="28"/>
      <c r="K511" s="28"/>
      <c r="L511" s="28"/>
      <c r="M511" s="19"/>
    </row>
    <row r="512">
      <c r="A512" s="66"/>
      <c r="B512" s="22">
        <v>45114.0</v>
      </c>
      <c r="C512" s="23" t="s">
        <v>722</v>
      </c>
      <c r="D512" s="61" t="s">
        <v>21</v>
      </c>
      <c r="E512" s="27" t="s">
        <v>334</v>
      </c>
      <c r="F512" s="27" t="s">
        <v>335</v>
      </c>
      <c r="G512" s="27" t="s">
        <v>32</v>
      </c>
      <c r="H512" s="27" t="s">
        <v>44</v>
      </c>
      <c r="I512" s="48"/>
      <c r="J512" s="28"/>
      <c r="K512" s="28"/>
      <c r="L512" s="28"/>
      <c r="M512" s="19"/>
    </row>
    <row r="513">
      <c r="A513" s="66"/>
      <c r="B513" s="22">
        <v>44991.0</v>
      </c>
      <c r="C513" s="23" t="s">
        <v>723</v>
      </c>
      <c r="D513" s="61" t="s">
        <v>21</v>
      </c>
      <c r="E513" s="27" t="s">
        <v>334</v>
      </c>
      <c r="F513" s="27" t="s">
        <v>335</v>
      </c>
      <c r="G513" s="27" t="s">
        <v>32</v>
      </c>
      <c r="H513" s="27" t="s">
        <v>35</v>
      </c>
      <c r="I513" s="48"/>
      <c r="J513" s="28"/>
      <c r="K513" s="28"/>
      <c r="L513" s="28"/>
      <c r="M513" s="19"/>
    </row>
    <row r="514">
      <c r="A514" s="66"/>
      <c r="B514" s="71">
        <v>44991.0</v>
      </c>
      <c r="C514" s="23" t="s">
        <v>724</v>
      </c>
      <c r="D514" s="61" t="s">
        <v>21</v>
      </c>
      <c r="E514" s="27" t="s">
        <v>30</v>
      </c>
      <c r="F514" s="27" t="s">
        <v>117</v>
      </c>
      <c r="G514" s="27" t="s">
        <v>32</v>
      </c>
      <c r="H514" s="27" t="s">
        <v>44</v>
      </c>
      <c r="I514" s="48"/>
      <c r="J514" s="28"/>
      <c r="K514" s="28"/>
      <c r="L514" s="28"/>
      <c r="M514" s="19"/>
    </row>
    <row r="515">
      <c r="A515" s="66"/>
      <c r="B515" s="71">
        <v>44992.0</v>
      </c>
      <c r="C515" s="23" t="s">
        <v>725</v>
      </c>
      <c r="D515" s="61" t="s">
        <v>21</v>
      </c>
      <c r="E515" s="27" t="s">
        <v>30</v>
      </c>
      <c r="F515" s="27" t="s">
        <v>31</v>
      </c>
      <c r="G515" s="27" t="s">
        <v>32</v>
      </c>
      <c r="H515" s="27" t="s">
        <v>44</v>
      </c>
      <c r="I515" s="48"/>
      <c r="J515" s="28"/>
      <c r="K515" s="28"/>
      <c r="L515" s="28"/>
      <c r="M515" s="19"/>
    </row>
    <row r="516">
      <c r="A516" s="66"/>
      <c r="B516" s="71">
        <v>44991.0</v>
      </c>
      <c r="C516" s="23" t="s">
        <v>726</v>
      </c>
      <c r="D516" s="61" t="s">
        <v>21</v>
      </c>
      <c r="E516" s="27" t="s">
        <v>30</v>
      </c>
      <c r="F516" s="27" t="s">
        <v>117</v>
      </c>
      <c r="G516" s="27" t="s">
        <v>359</v>
      </c>
      <c r="H516" s="27" t="s">
        <v>44</v>
      </c>
      <c r="I516" s="48"/>
      <c r="J516" s="28"/>
      <c r="K516" s="28"/>
      <c r="L516" s="28"/>
      <c r="M516" s="19"/>
    </row>
    <row r="517">
      <c r="A517" s="66"/>
      <c r="B517" s="22">
        <v>44987.0</v>
      </c>
      <c r="C517" s="23" t="s">
        <v>727</v>
      </c>
      <c r="D517" s="61" t="s">
        <v>21</v>
      </c>
      <c r="E517" s="27" t="s">
        <v>376</v>
      </c>
      <c r="F517" s="27" t="s">
        <v>379</v>
      </c>
      <c r="G517" s="27" t="s">
        <v>390</v>
      </c>
      <c r="H517" s="27" t="s">
        <v>44</v>
      </c>
      <c r="I517" s="48"/>
      <c r="J517" s="28"/>
      <c r="K517" s="28"/>
      <c r="L517" s="28"/>
      <c r="M517" s="19"/>
    </row>
    <row r="518">
      <c r="A518" s="66"/>
      <c r="B518" s="71">
        <v>44997.0</v>
      </c>
      <c r="C518" s="23" t="s">
        <v>728</v>
      </c>
      <c r="D518" s="61" t="s">
        <v>21</v>
      </c>
      <c r="E518" s="27" t="s">
        <v>30</v>
      </c>
      <c r="F518" s="27" t="s">
        <v>117</v>
      </c>
      <c r="G518" s="27" t="s">
        <v>32</v>
      </c>
      <c r="H518" s="27" t="s">
        <v>44</v>
      </c>
      <c r="I518" s="48"/>
      <c r="J518" s="28"/>
      <c r="K518" s="28"/>
      <c r="L518" s="28"/>
      <c r="M518" s="19"/>
    </row>
    <row r="519">
      <c r="A519" s="66"/>
      <c r="B519" s="22">
        <v>45201.0</v>
      </c>
      <c r="C519" s="23" t="s">
        <v>729</v>
      </c>
      <c r="D519" s="61" t="s">
        <v>21</v>
      </c>
      <c r="E519" s="27" t="s">
        <v>376</v>
      </c>
      <c r="F519" s="27" t="s">
        <v>379</v>
      </c>
      <c r="G519" s="27" t="s">
        <v>359</v>
      </c>
      <c r="H519" s="27" t="s">
        <v>44</v>
      </c>
      <c r="I519" s="48"/>
      <c r="J519" s="28"/>
      <c r="K519" s="28"/>
      <c r="L519" s="28"/>
      <c r="M519" s="19"/>
    </row>
    <row r="520">
      <c r="A520" s="66"/>
      <c r="B520" s="22">
        <v>45202.0</v>
      </c>
      <c r="C520" s="23" t="s">
        <v>730</v>
      </c>
      <c r="D520" s="61" t="s">
        <v>21</v>
      </c>
      <c r="E520" s="27" t="s">
        <v>334</v>
      </c>
      <c r="F520" s="27" t="s">
        <v>335</v>
      </c>
      <c r="G520" s="27" t="s">
        <v>32</v>
      </c>
      <c r="H520" s="27" t="s">
        <v>44</v>
      </c>
      <c r="I520" s="48"/>
      <c r="J520" s="28"/>
      <c r="K520" s="28"/>
      <c r="L520" s="28"/>
      <c r="M520" s="19"/>
    </row>
    <row r="521">
      <c r="A521" s="66"/>
      <c r="B521" s="22">
        <v>45243.0</v>
      </c>
      <c r="C521" s="23" t="s">
        <v>731</v>
      </c>
      <c r="D521" s="61" t="s">
        <v>21</v>
      </c>
      <c r="E521" s="27" t="s">
        <v>30</v>
      </c>
      <c r="F521" s="27" t="s">
        <v>117</v>
      </c>
      <c r="G521" s="27" t="s">
        <v>32</v>
      </c>
      <c r="H521" s="27" t="s">
        <v>44</v>
      </c>
      <c r="I521" s="48"/>
      <c r="J521" s="28"/>
      <c r="K521" s="28"/>
      <c r="L521" s="28"/>
      <c r="M521" s="19"/>
    </row>
    <row r="522">
      <c r="A522" s="66"/>
      <c r="B522" s="22">
        <v>45245.0</v>
      </c>
      <c r="C522" s="23" t="s">
        <v>732</v>
      </c>
      <c r="D522" s="61" t="s">
        <v>21</v>
      </c>
      <c r="E522" s="27" t="s">
        <v>30</v>
      </c>
      <c r="F522" s="27" t="s">
        <v>31</v>
      </c>
      <c r="G522" s="27" t="s">
        <v>191</v>
      </c>
      <c r="H522" s="27" t="s">
        <v>44</v>
      </c>
      <c r="I522" s="48"/>
      <c r="J522" s="28"/>
      <c r="K522" s="28"/>
      <c r="L522" s="28"/>
      <c r="M522" s="19"/>
    </row>
    <row r="523">
      <c r="A523" s="66"/>
      <c r="B523" s="22">
        <v>45205.0</v>
      </c>
      <c r="C523" s="23" t="s">
        <v>733</v>
      </c>
      <c r="D523" s="61" t="s">
        <v>21</v>
      </c>
      <c r="E523" s="27" t="s">
        <v>334</v>
      </c>
      <c r="F523" s="27" t="s">
        <v>335</v>
      </c>
      <c r="G523" s="27" t="s">
        <v>32</v>
      </c>
      <c r="H523" s="27" t="s">
        <v>44</v>
      </c>
      <c r="I523" s="48"/>
      <c r="J523" s="28"/>
      <c r="K523" s="28"/>
      <c r="L523" s="28"/>
      <c r="M523" s="19"/>
    </row>
    <row r="524">
      <c r="A524" s="66"/>
      <c r="B524" s="22">
        <v>45221.0</v>
      </c>
      <c r="C524" s="23" t="s">
        <v>734</v>
      </c>
      <c r="D524" s="61" t="s">
        <v>21</v>
      </c>
      <c r="E524" s="27" t="s">
        <v>30</v>
      </c>
      <c r="F524" s="27" t="s">
        <v>117</v>
      </c>
      <c r="G524" s="27" t="s">
        <v>32</v>
      </c>
      <c r="H524" s="27" t="s">
        <v>44</v>
      </c>
      <c r="I524" s="48"/>
      <c r="J524" s="28"/>
      <c r="K524" s="28"/>
      <c r="L524" s="28"/>
      <c r="M524" s="19"/>
    </row>
    <row r="525">
      <c r="A525" s="66"/>
      <c r="B525" s="22">
        <v>45079.0</v>
      </c>
      <c r="C525" s="23" t="s">
        <v>735</v>
      </c>
      <c r="D525" s="61" t="s">
        <v>21</v>
      </c>
      <c r="E525" s="27" t="s">
        <v>376</v>
      </c>
      <c r="F525" s="27" t="s">
        <v>424</v>
      </c>
      <c r="G525" s="27" t="s">
        <v>32</v>
      </c>
      <c r="H525" s="27" t="s">
        <v>44</v>
      </c>
      <c r="I525" s="48"/>
      <c r="J525" s="28"/>
      <c r="K525" s="28"/>
      <c r="L525" s="28"/>
      <c r="M525" s="19"/>
    </row>
    <row r="526">
      <c r="A526" s="66"/>
      <c r="B526" s="22">
        <v>45041.0</v>
      </c>
      <c r="C526" s="23" t="s">
        <v>736</v>
      </c>
      <c r="D526" s="61" t="s">
        <v>21</v>
      </c>
      <c r="E526" s="27" t="s">
        <v>30</v>
      </c>
      <c r="F526" s="27" t="s">
        <v>117</v>
      </c>
      <c r="G526" s="27" t="s">
        <v>32</v>
      </c>
      <c r="H526" s="27" t="s">
        <v>35</v>
      </c>
      <c r="I526" s="48"/>
      <c r="J526" s="28"/>
      <c r="K526" s="28"/>
      <c r="L526" s="28"/>
      <c r="M526" s="19"/>
    </row>
    <row r="527">
      <c r="A527" s="66"/>
      <c r="B527" s="22">
        <v>45007.0</v>
      </c>
      <c r="C527" s="23" t="s">
        <v>737</v>
      </c>
      <c r="D527" s="61" t="s">
        <v>21</v>
      </c>
      <c r="E527" s="27" t="s">
        <v>738</v>
      </c>
      <c r="F527" s="27" t="s">
        <v>379</v>
      </c>
      <c r="G527" s="27" t="s">
        <v>359</v>
      </c>
      <c r="H527" s="27" t="s">
        <v>35</v>
      </c>
      <c r="I527" s="48"/>
      <c r="J527" s="28"/>
      <c r="K527" s="28"/>
      <c r="L527" s="28"/>
      <c r="M527" s="19"/>
    </row>
    <row r="528">
      <c r="A528" s="66"/>
      <c r="B528" s="22">
        <v>45060.0</v>
      </c>
      <c r="C528" s="23" t="s">
        <v>739</v>
      </c>
      <c r="D528" s="61" t="s">
        <v>21</v>
      </c>
      <c r="E528" s="27" t="s">
        <v>334</v>
      </c>
      <c r="F528" s="27" t="s">
        <v>337</v>
      </c>
      <c r="G528" s="27" t="s">
        <v>32</v>
      </c>
      <c r="H528" s="27" t="s">
        <v>44</v>
      </c>
      <c r="I528" s="48"/>
      <c r="J528" s="28"/>
      <c r="K528" s="28"/>
      <c r="L528" s="28"/>
      <c r="M528" s="19"/>
    </row>
    <row r="529">
      <c r="A529" s="66"/>
      <c r="B529" s="71">
        <v>45011.0</v>
      </c>
      <c r="C529" s="23" t="s">
        <v>740</v>
      </c>
      <c r="D529" s="61" t="s">
        <v>21</v>
      </c>
      <c r="E529" s="27" t="s">
        <v>376</v>
      </c>
      <c r="F529" s="27" t="s">
        <v>31</v>
      </c>
      <c r="G529" s="27" t="s">
        <v>359</v>
      </c>
      <c r="H529" s="27" t="s">
        <v>44</v>
      </c>
      <c r="I529" s="48"/>
      <c r="J529" s="28"/>
      <c r="K529" s="28"/>
      <c r="L529" s="28"/>
      <c r="M529" s="19"/>
    </row>
    <row r="530">
      <c r="A530" s="66"/>
      <c r="B530" s="22">
        <v>45215.0</v>
      </c>
      <c r="C530" s="23" t="s">
        <v>741</v>
      </c>
      <c r="D530" s="61" t="s">
        <v>21</v>
      </c>
      <c r="E530" s="27" t="s">
        <v>334</v>
      </c>
      <c r="F530" s="27" t="s">
        <v>337</v>
      </c>
      <c r="G530" s="27" t="s">
        <v>32</v>
      </c>
      <c r="H530" s="27" t="s">
        <v>44</v>
      </c>
      <c r="I530" s="48"/>
      <c r="J530" s="28"/>
      <c r="K530" s="28"/>
      <c r="L530" s="28"/>
      <c r="M530" s="19"/>
    </row>
    <row r="531">
      <c r="A531" s="66"/>
      <c r="B531" s="22">
        <v>45119.0</v>
      </c>
      <c r="C531" s="23" t="s">
        <v>742</v>
      </c>
      <c r="D531" s="61" t="s">
        <v>21</v>
      </c>
      <c r="E531" s="27" t="s">
        <v>30</v>
      </c>
      <c r="F531" s="27" t="s">
        <v>117</v>
      </c>
      <c r="G531" s="27" t="s">
        <v>32</v>
      </c>
      <c r="H531" s="27" t="s">
        <v>44</v>
      </c>
      <c r="I531" s="48"/>
      <c r="J531" s="28"/>
      <c r="K531" s="28"/>
      <c r="L531" s="28"/>
      <c r="M531" s="19"/>
    </row>
    <row r="532">
      <c r="A532" s="66"/>
      <c r="B532" s="71">
        <v>45017.0</v>
      </c>
      <c r="C532" s="23" t="s">
        <v>743</v>
      </c>
      <c r="D532" s="61" t="s">
        <v>21</v>
      </c>
      <c r="E532" s="27" t="s">
        <v>334</v>
      </c>
      <c r="F532" s="27" t="s">
        <v>335</v>
      </c>
      <c r="G532" s="27" t="s">
        <v>32</v>
      </c>
      <c r="H532" s="27" t="s">
        <v>44</v>
      </c>
      <c r="I532" s="48"/>
      <c r="J532" s="28"/>
      <c r="K532" s="28"/>
      <c r="L532" s="28"/>
      <c r="M532" s="19"/>
    </row>
    <row r="533">
      <c r="A533" s="66"/>
      <c r="B533" s="22">
        <v>45082.0</v>
      </c>
      <c r="C533" s="23" t="s">
        <v>744</v>
      </c>
      <c r="D533" s="61" t="s">
        <v>21</v>
      </c>
      <c r="E533" s="27" t="s">
        <v>30</v>
      </c>
      <c r="F533" s="27" t="s">
        <v>31</v>
      </c>
      <c r="G533" s="27" t="s">
        <v>32</v>
      </c>
      <c r="H533" s="27" t="s">
        <v>44</v>
      </c>
      <c r="I533" s="48"/>
      <c r="J533" s="28"/>
      <c r="K533" s="28"/>
      <c r="L533" s="28"/>
      <c r="M533" s="19"/>
    </row>
    <row r="534">
      <c r="A534" s="66"/>
      <c r="B534" s="22">
        <v>45245.0</v>
      </c>
      <c r="C534" s="23" t="s">
        <v>745</v>
      </c>
      <c r="D534" s="61" t="s">
        <v>21</v>
      </c>
      <c r="E534" s="27" t="s">
        <v>30</v>
      </c>
      <c r="F534" s="27" t="s">
        <v>117</v>
      </c>
      <c r="G534" s="27" t="s">
        <v>32</v>
      </c>
      <c r="H534" s="27" t="s">
        <v>44</v>
      </c>
      <c r="I534" s="48"/>
      <c r="J534" s="28"/>
      <c r="K534" s="28"/>
      <c r="L534" s="28"/>
      <c r="M534" s="19"/>
    </row>
    <row r="535">
      <c r="A535" s="66"/>
      <c r="B535" s="71">
        <v>45020.0</v>
      </c>
      <c r="C535" s="23" t="s">
        <v>746</v>
      </c>
      <c r="D535" s="61" t="s">
        <v>21</v>
      </c>
      <c r="E535" s="27" t="s">
        <v>30</v>
      </c>
      <c r="F535" s="27" t="s">
        <v>117</v>
      </c>
      <c r="G535" s="27" t="s">
        <v>32</v>
      </c>
      <c r="H535" s="27" t="s">
        <v>44</v>
      </c>
      <c r="I535" s="48"/>
      <c r="J535" s="28"/>
      <c r="K535" s="28"/>
      <c r="L535" s="28"/>
      <c r="M535" s="19"/>
    </row>
    <row r="536">
      <c r="A536" s="66"/>
      <c r="B536" s="22">
        <v>45236.0</v>
      </c>
      <c r="C536" s="23" t="s">
        <v>747</v>
      </c>
      <c r="D536" s="61" t="s">
        <v>21</v>
      </c>
      <c r="E536" s="27" t="s">
        <v>30</v>
      </c>
      <c r="F536" s="27" t="s">
        <v>117</v>
      </c>
      <c r="G536" s="27" t="s">
        <v>32</v>
      </c>
      <c r="H536" s="27" t="s">
        <v>44</v>
      </c>
      <c r="I536" s="48"/>
      <c r="J536" s="28"/>
      <c r="K536" s="28"/>
      <c r="L536" s="28"/>
      <c r="M536" s="19"/>
    </row>
    <row r="537">
      <c r="A537" s="66"/>
      <c r="B537" s="71">
        <v>45021.0</v>
      </c>
      <c r="C537" s="23" t="s">
        <v>748</v>
      </c>
      <c r="D537" s="61" t="s">
        <v>21</v>
      </c>
      <c r="E537" s="27" t="s">
        <v>334</v>
      </c>
      <c r="F537" s="27" t="s">
        <v>117</v>
      </c>
      <c r="G537" s="27" t="s">
        <v>32</v>
      </c>
      <c r="H537" s="27" t="s">
        <v>35</v>
      </c>
      <c r="I537" s="48"/>
      <c r="J537" s="28"/>
      <c r="K537" s="28"/>
      <c r="L537" s="28"/>
      <c r="M537" s="19"/>
    </row>
    <row r="538">
      <c r="A538" s="66"/>
      <c r="B538" s="22">
        <v>45145.0</v>
      </c>
      <c r="C538" s="23" t="s">
        <v>749</v>
      </c>
      <c r="D538" s="61" t="s">
        <v>21</v>
      </c>
      <c r="E538" s="27" t="s">
        <v>30</v>
      </c>
      <c r="F538" s="27" t="s">
        <v>117</v>
      </c>
      <c r="G538" s="27" t="s">
        <v>32</v>
      </c>
      <c r="H538" s="27" t="s">
        <v>44</v>
      </c>
      <c r="I538" s="48"/>
      <c r="J538" s="28"/>
      <c r="K538" s="28"/>
      <c r="L538" s="28"/>
      <c r="M538" s="19"/>
    </row>
    <row r="539">
      <c r="A539" s="66"/>
      <c r="B539" s="71">
        <v>45023.0</v>
      </c>
      <c r="C539" s="23" t="s">
        <v>750</v>
      </c>
      <c r="D539" s="61" t="s">
        <v>21</v>
      </c>
      <c r="E539" s="27" t="s">
        <v>30</v>
      </c>
      <c r="F539" s="27" t="s">
        <v>31</v>
      </c>
      <c r="G539" s="27" t="s">
        <v>32</v>
      </c>
      <c r="H539" s="27" t="s">
        <v>35</v>
      </c>
      <c r="I539" s="48"/>
      <c r="J539" s="28"/>
      <c r="K539" s="28"/>
      <c r="L539" s="28"/>
      <c r="M539" s="19"/>
    </row>
    <row r="540">
      <c r="A540" s="66"/>
      <c r="B540" s="22">
        <v>45207.0</v>
      </c>
      <c r="C540" s="23" t="s">
        <v>751</v>
      </c>
      <c r="D540" s="61" t="s">
        <v>21</v>
      </c>
      <c r="E540" s="27" t="s">
        <v>30</v>
      </c>
      <c r="F540" s="27" t="s">
        <v>117</v>
      </c>
      <c r="G540" s="27" t="s">
        <v>32</v>
      </c>
      <c r="H540" s="27" t="s">
        <v>44</v>
      </c>
      <c r="I540" s="48"/>
      <c r="J540" s="28"/>
      <c r="K540" s="28"/>
      <c r="L540" s="28"/>
      <c r="M540" s="19"/>
    </row>
    <row r="541">
      <c r="A541" s="66"/>
      <c r="B541" s="71">
        <v>45024.0</v>
      </c>
      <c r="C541" s="23" t="s">
        <v>752</v>
      </c>
      <c r="D541" s="61" t="s">
        <v>21</v>
      </c>
      <c r="E541" s="27" t="s">
        <v>376</v>
      </c>
      <c r="F541" s="27" t="s">
        <v>117</v>
      </c>
      <c r="G541" s="27" t="s">
        <v>32</v>
      </c>
      <c r="H541" s="27" t="s">
        <v>44</v>
      </c>
      <c r="I541" s="48"/>
      <c r="J541" s="28"/>
      <c r="K541" s="28"/>
      <c r="L541" s="28"/>
      <c r="M541" s="19"/>
    </row>
    <row r="542">
      <c r="A542" s="66"/>
      <c r="B542" s="22">
        <v>45131.0</v>
      </c>
      <c r="C542" s="23" t="s">
        <v>753</v>
      </c>
      <c r="D542" s="61" t="s">
        <v>21</v>
      </c>
      <c r="E542" s="27" t="s">
        <v>334</v>
      </c>
      <c r="F542" s="27" t="s">
        <v>337</v>
      </c>
      <c r="G542" s="27" t="s">
        <v>32</v>
      </c>
      <c r="H542" s="27" t="s">
        <v>44</v>
      </c>
      <c r="I542" s="48"/>
      <c r="J542" s="28"/>
      <c r="K542" s="28"/>
      <c r="L542" s="28"/>
      <c r="M542" s="19"/>
    </row>
    <row r="543">
      <c r="A543" s="66"/>
      <c r="B543" s="71">
        <v>45025.0</v>
      </c>
      <c r="C543" s="23" t="s">
        <v>754</v>
      </c>
      <c r="D543" s="61" t="s">
        <v>21</v>
      </c>
      <c r="E543" s="27" t="s">
        <v>30</v>
      </c>
      <c r="F543" s="27" t="s">
        <v>117</v>
      </c>
      <c r="G543" s="27" t="s">
        <v>32</v>
      </c>
      <c r="H543" s="27" t="s">
        <v>44</v>
      </c>
      <c r="I543" s="48"/>
      <c r="J543" s="28"/>
      <c r="K543" s="28"/>
      <c r="L543" s="28"/>
      <c r="M543" s="19"/>
    </row>
    <row r="544">
      <c r="A544" s="66"/>
      <c r="B544" s="22">
        <v>45114.0</v>
      </c>
      <c r="C544" s="23" t="s">
        <v>755</v>
      </c>
      <c r="D544" s="61" t="s">
        <v>21</v>
      </c>
      <c r="E544" s="27" t="s">
        <v>30</v>
      </c>
      <c r="F544" s="27" t="s">
        <v>31</v>
      </c>
      <c r="G544" s="27" t="s">
        <v>32</v>
      </c>
      <c r="H544" s="27" t="s">
        <v>44</v>
      </c>
      <c r="I544" s="48"/>
      <c r="J544" s="28"/>
      <c r="K544" s="28"/>
      <c r="L544" s="28"/>
      <c r="M544" s="19"/>
    </row>
    <row r="545">
      <c r="A545" s="66"/>
      <c r="B545" s="71">
        <v>45028.0</v>
      </c>
      <c r="C545" s="23" t="s">
        <v>756</v>
      </c>
      <c r="D545" s="61" t="s">
        <v>21</v>
      </c>
      <c r="E545" s="27" t="s">
        <v>30</v>
      </c>
      <c r="F545" s="27" t="s">
        <v>117</v>
      </c>
      <c r="G545" s="27" t="s">
        <v>390</v>
      </c>
      <c r="H545" s="27" t="s">
        <v>44</v>
      </c>
      <c r="I545" s="48"/>
      <c r="J545" s="28"/>
      <c r="K545" s="28"/>
      <c r="L545" s="28"/>
      <c r="M545" s="19"/>
    </row>
    <row r="546">
      <c r="A546" s="66"/>
      <c r="B546" s="22">
        <v>45054.0</v>
      </c>
      <c r="C546" s="23" t="s">
        <v>757</v>
      </c>
      <c r="D546" s="61" t="s">
        <v>21</v>
      </c>
      <c r="E546" s="27" t="s">
        <v>30</v>
      </c>
      <c r="F546" s="27" t="s">
        <v>31</v>
      </c>
      <c r="G546" s="27" t="s">
        <v>32</v>
      </c>
      <c r="H546" s="27" t="s">
        <v>44</v>
      </c>
      <c r="I546" s="48"/>
      <c r="J546" s="28"/>
      <c r="K546" s="28"/>
      <c r="L546" s="28"/>
      <c r="M546" s="19"/>
    </row>
    <row r="547">
      <c r="A547" s="66"/>
      <c r="B547" s="22">
        <v>45029.0</v>
      </c>
      <c r="C547" s="23" t="s">
        <v>758</v>
      </c>
      <c r="D547" s="61" t="s">
        <v>21</v>
      </c>
      <c r="E547" s="27" t="s">
        <v>334</v>
      </c>
      <c r="F547" s="27" t="s">
        <v>335</v>
      </c>
      <c r="G547" s="27" t="s">
        <v>32</v>
      </c>
      <c r="H547" s="27" t="s">
        <v>35</v>
      </c>
      <c r="I547" s="48"/>
      <c r="J547" s="28"/>
      <c r="K547" s="28"/>
      <c r="L547" s="28"/>
      <c r="M547" s="19"/>
    </row>
    <row r="548">
      <c r="A548" s="66"/>
      <c r="B548" s="71">
        <v>45033.0</v>
      </c>
      <c r="C548" s="23" t="s">
        <v>759</v>
      </c>
      <c r="D548" s="61" t="s">
        <v>21</v>
      </c>
      <c r="E548" s="27" t="s">
        <v>30</v>
      </c>
      <c r="F548" s="27" t="s">
        <v>31</v>
      </c>
      <c r="G548" s="27" t="s">
        <v>32</v>
      </c>
      <c r="H548" s="27" t="s">
        <v>44</v>
      </c>
      <c r="I548" s="48"/>
      <c r="J548" s="28"/>
      <c r="K548" s="28"/>
      <c r="L548" s="28"/>
      <c r="M548" s="19"/>
    </row>
    <row r="549">
      <c r="A549" s="66"/>
      <c r="B549" s="22">
        <v>45118.0</v>
      </c>
      <c r="C549" s="23" t="s">
        <v>760</v>
      </c>
      <c r="D549" s="61" t="s">
        <v>21</v>
      </c>
      <c r="E549" s="27" t="s">
        <v>376</v>
      </c>
      <c r="F549" s="27" t="s">
        <v>379</v>
      </c>
      <c r="G549" s="27" t="s">
        <v>390</v>
      </c>
      <c r="H549" s="27" t="s">
        <v>44</v>
      </c>
      <c r="I549" s="48"/>
      <c r="J549" s="28"/>
      <c r="K549" s="28"/>
      <c r="L549" s="28"/>
      <c r="M549" s="19"/>
    </row>
    <row r="550">
      <c r="A550" s="66"/>
      <c r="B550" s="22">
        <v>45053.0</v>
      </c>
      <c r="C550" s="23" t="s">
        <v>761</v>
      </c>
      <c r="D550" s="61" t="s">
        <v>21</v>
      </c>
      <c r="E550" s="27" t="s">
        <v>30</v>
      </c>
      <c r="F550" s="27" t="s">
        <v>117</v>
      </c>
      <c r="G550" s="27" t="s">
        <v>32</v>
      </c>
      <c r="H550" s="27" t="s">
        <v>44</v>
      </c>
      <c r="I550" s="48"/>
      <c r="J550" s="28"/>
      <c r="K550" s="28"/>
      <c r="L550" s="28"/>
      <c r="M550" s="19"/>
    </row>
    <row r="551">
      <c r="A551" s="66"/>
      <c r="B551" s="22">
        <v>45061.0</v>
      </c>
      <c r="C551" s="23" t="s">
        <v>762</v>
      </c>
      <c r="D551" s="61" t="s">
        <v>21</v>
      </c>
      <c r="E551" s="27" t="s">
        <v>30</v>
      </c>
      <c r="F551" s="27" t="s">
        <v>117</v>
      </c>
      <c r="G551" s="27" t="s">
        <v>32</v>
      </c>
      <c r="H551" s="27" t="s">
        <v>44</v>
      </c>
      <c r="I551" s="48"/>
      <c r="J551" s="28"/>
      <c r="K551" s="28"/>
      <c r="L551" s="28"/>
      <c r="M551" s="19"/>
    </row>
    <row r="552">
      <c r="A552" s="66"/>
      <c r="B552" s="71">
        <v>45044.0</v>
      </c>
      <c r="C552" s="23" t="s">
        <v>763</v>
      </c>
      <c r="D552" s="61" t="s">
        <v>21</v>
      </c>
      <c r="E552" s="27" t="s">
        <v>30</v>
      </c>
      <c r="F552" s="27" t="s">
        <v>117</v>
      </c>
      <c r="G552" s="27" t="s">
        <v>32</v>
      </c>
      <c r="H552" s="27" t="s">
        <v>252</v>
      </c>
      <c r="I552" s="48"/>
      <c r="J552" s="28"/>
      <c r="K552" s="28"/>
      <c r="L552" s="28"/>
      <c r="M552" s="19"/>
    </row>
    <row r="553">
      <c r="A553" s="66"/>
      <c r="B553" s="71">
        <v>45045.0</v>
      </c>
      <c r="C553" s="23" t="s">
        <v>764</v>
      </c>
      <c r="D553" s="61" t="s">
        <v>21</v>
      </c>
      <c r="E553" s="27" t="s">
        <v>334</v>
      </c>
      <c r="F553" s="27" t="s">
        <v>335</v>
      </c>
      <c r="G553" s="27" t="s">
        <v>32</v>
      </c>
      <c r="H553" s="27" t="s">
        <v>44</v>
      </c>
      <c r="I553" s="48"/>
      <c r="J553" s="28"/>
      <c r="K553" s="28"/>
      <c r="L553" s="28"/>
      <c r="M553" s="19"/>
    </row>
    <row r="554">
      <c r="A554" s="66"/>
      <c r="B554" s="71">
        <v>45045.0</v>
      </c>
      <c r="C554" s="23" t="s">
        <v>765</v>
      </c>
      <c r="D554" s="61" t="s">
        <v>21</v>
      </c>
      <c r="E554" s="27" t="s">
        <v>334</v>
      </c>
      <c r="F554" s="27" t="s">
        <v>335</v>
      </c>
      <c r="G554" s="27" t="s">
        <v>32</v>
      </c>
      <c r="H554" s="27" t="s">
        <v>35</v>
      </c>
      <c r="I554" s="48"/>
      <c r="J554" s="28"/>
      <c r="K554" s="28"/>
      <c r="L554" s="28"/>
      <c r="M554" s="19"/>
    </row>
    <row r="555">
      <c r="A555" s="66"/>
      <c r="B555" s="71">
        <v>45046.0</v>
      </c>
      <c r="C555" s="23" t="s">
        <v>766</v>
      </c>
      <c r="D555" s="61" t="s">
        <v>21</v>
      </c>
      <c r="E555" s="27" t="s">
        <v>30</v>
      </c>
      <c r="F555" s="27" t="s">
        <v>31</v>
      </c>
      <c r="G555" s="27" t="s">
        <v>32</v>
      </c>
      <c r="H555" s="27" t="s">
        <v>44</v>
      </c>
      <c r="I555" s="48"/>
      <c r="J555" s="28"/>
      <c r="K555" s="28"/>
      <c r="L555" s="28"/>
      <c r="M555" s="19"/>
    </row>
    <row r="556">
      <c r="A556" s="66"/>
      <c r="B556" s="71">
        <v>45046.0</v>
      </c>
      <c r="C556" s="23" t="s">
        <v>767</v>
      </c>
      <c r="D556" s="61" t="s">
        <v>21</v>
      </c>
      <c r="E556" s="27" t="s">
        <v>399</v>
      </c>
      <c r="F556" s="27" t="s">
        <v>31</v>
      </c>
      <c r="G556" s="27" t="s">
        <v>32</v>
      </c>
      <c r="H556" s="27" t="s">
        <v>44</v>
      </c>
      <c r="I556" s="48"/>
      <c r="J556" s="28"/>
      <c r="K556" s="28"/>
      <c r="L556" s="28"/>
      <c r="M556" s="19"/>
    </row>
    <row r="557">
      <c r="A557" s="66"/>
      <c r="B557" s="22">
        <v>45202.0</v>
      </c>
      <c r="C557" s="23" t="s">
        <v>768</v>
      </c>
      <c r="D557" s="61" t="s">
        <v>21</v>
      </c>
      <c r="E557" s="27" t="s">
        <v>334</v>
      </c>
      <c r="F557" s="27" t="s">
        <v>335</v>
      </c>
      <c r="G557" s="27" t="s">
        <v>32</v>
      </c>
      <c r="H557" s="27" t="s">
        <v>44</v>
      </c>
      <c r="I557" s="48"/>
      <c r="J557" s="28"/>
      <c r="K557" s="28"/>
      <c r="L557" s="28"/>
      <c r="M557" s="19"/>
    </row>
    <row r="558">
      <c r="A558" s="66"/>
      <c r="B558" s="71">
        <v>45051.0</v>
      </c>
      <c r="C558" s="23" t="s">
        <v>769</v>
      </c>
      <c r="D558" s="61" t="s">
        <v>21</v>
      </c>
      <c r="E558" s="27" t="s">
        <v>30</v>
      </c>
      <c r="F558" s="27" t="s">
        <v>117</v>
      </c>
      <c r="G558" s="27" t="s">
        <v>32</v>
      </c>
      <c r="H558" s="27" t="s">
        <v>44</v>
      </c>
      <c r="I558" s="48"/>
      <c r="J558" s="28"/>
      <c r="K558" s="28"/>
      <c r="L558" s="28"/>
      <c r="M558" s="19"/>
    </row>
    <row r="559">
      <c r="A559" s="66"/>
      <c r="B559" s="22">
        <v>45105.0</v>
      </c>
      <c r="C559" s="23" t="s">
        <v>770</v>
      </c>
      <c r="D559" s="61" t="s">
        <v>21</v>
      </c>
      <c r="E559" s="27" t="s">
        <v>30</v>
      </c>
      <c r="F559" s="27" t="s">
        <v>31</v>
      </c>
      <c r="G559" s="27" t="s">
        <v>32</v>
      </c>
      <c r="H559" s="27" t="s">
        <v>44</v>
      </c>
      <c r="I559" s="48"/>
      <c r="J559" s="28"/>
      <c r="K559" s="28"/>
      <c r="L559" s="28"/>
      <c r="M559" s="19"/>
    </row>
    <row r="560">
      <c r="A560" s="66"/>
      <c r="B560" s="22">
        <v>45052.0</v>
      </c>
      <c r="C560" s="23" t="s">
        <v>771</v>
      </c>
      <c r="D560" s="61" t="s">
        <v>21</v>
      </c>
      <c r="E560" s="27" t="s">
        <v>30</v>
      </c>
      <c r="F560" s="27" t="s">
        <v>117</v>
      </c>
      <c r="G560" s="27" t="s">
        <v>32</v>
      </c>
      <c r="H560" s="27" t="s">
        <v>35</v>
      </c>
      <c r="I560" s="48"/>
      <c r="J560" s="28"/>
      <c r="K560" s="28"/>
      <c r="L560" s="28"/>
      <c r="M560" s="19"/>
    </row>
    <row r="561">
      <c r="A561" s="66"/>
      <c r="B561" s="71">
        <v>45052.0</v>
      </c>
      <c r="C561" s="23" t="s">
        <v>772</v>
      </c>
      <c r="D561" s="61" t="s">
        <v>21</v>
      </c>
      <c r="E561" s="27" t="s">
        <v>30</v>
      </c>
      <c r="F561" s="27" t="s">
        <v>31</v>
      </c>
      <c r="G561" s="27" t="s">
        <v>32</v>
      </c>
      <c r="H561" s="27" t="s">
        <v>44</v>
      </c>
      <c r="I561" s="48"/>
      <c r="J561" s="28"/>
      <c r="K561" s="28"/>
      <c r="L561" s="28"/>
      <c r="M561" s="19"/>
    </row>
    <row r="562">
      <c r="A562" s="66"/>
      <c r="B562" s="22">
        <v>45232.0</v>
      </c>
      <c r="C562" s="23" t="s">
        <v>773</v>
      </c>
      <c r="D562" s="61" t="s">
        <v>21</v>
      </c>
      <c r="E562" s="27" t="s">
        <v>30</v>
      </c>
      <c r="F562" s="27" t="s">
        <v>117</v>
      </c>
      <c r="G562" s="27" t="s">
        <v>32</v>
      </c>
      <c r="H562" s="27" t="s">
        <v>44</v>
      </c>
      <c r="I562" s="48"/>
      <c r="J562" s="28"/>
      <c r="K562" s="28"/>
      <c r="L562" s="28"/>
      <c r="M562" s="19"/>
    </row>
    <row r="563">
      <c r="A563" s="66"/>
      <c r="B563" s="22">
        <v>45171.0</v>
      </c>
      <c r="C563" s="23" t="s">
        <v>774</v>
      </c>
      <c r="D563" s="61" t="s">
        <v>21</v>
      </c>
      <c r="E563" s="27" t="s">
        <v>334</v>
      </c>
      <c r="F563" s="27" t="s">
        <v>337</v>
      </c>
      <c r="G563" s="27" t="s">
        <v>390</v>
      </c>
      <c r="H563" s="27" t="s">
        <v>44</v>
      </c>
      <c r="I563" s="48"/>
      <c r="J563" s="28"/>
      <c r="K563" s="28"/>
      <c r="L563" s="28"/>
      <c r="M563" s="19"/>
    </row>
    <row r="564">
      <c r="A564" s="66"/>
      <c r="B564" s="22">
        <v>45150.0</v>
      </c>
      <c r="C564" s="23" t="s">
        <v>775</v>
      </c>
      <c r="D564" s="61" t="s">
        <v>21</v>
      </c>
      <c r="E564" s="27" t="s">
        <v>30</v>
      </c>
      <c r="F564" s="27" t="s">
        <v>117</v>
      </c>
      <c r="G564" s="27" t="s">
        <v>32</v>
      </c>
      <c r="H564" s="27" t="s">
        <v>44</v>
      </c>
      <c r="I564" s="48"/>
      <c r="J564" s="28"/>
      <c r="K564" s="28"/>
      <c r="L564" s="28"/>
      <c r="M564" s="19"/>
    </row>
    <row r="565">
      <c r="A565" s="66"/>
      <c r="B565" s="71">
        <v>45055.0</v>
      </c>
      <c r="C565" s="23" t="s">
        <v>776</v>
      </c>
      <c r="D565" s="61" t="s">
        <v>21</v>
      </c>
      <c r="E565" s="27" t="s">
        <v>30</v>
      </c>
      <c r="F565" s="27" t="s">
        <v>117</v>
      </c>
      <c r="G565" s="27" t="s">
        <v>32</v>
      </c>
      <c r="H565" s="27" t="s">
        <v>44</v>
      </c>
      <c r="I565" s="48"/>
      <c r="J565" s="28"/>
      <c r="K565" s="28"/>
      <c r="L565" s="28"/>
      <c r="M565" s="19"/>
    </row>
    <row r="566">
      <c r="A566" s="66"/>
      <c r="B566" s="22">
        <v>45055.0</v>
      </c>
      <c r="C566" s="23" t="s">
        <v>777</v>
      </c>
      <c r="D566" s="61" t="s">
        <v>21</v>
      </c>
      <c r="E566" s="27" t="s">
        <v>376</v>
      </c>
      <c r="F566" s="27" t="s">
        <v>424</v>
      </c>
      <c r="G566" s="27" t="s">
        <v>390</v>
      </c>
      <c r="H566" s="27" t="s">
        <v>35</v>
      </c>
      <c r="I566" s="48"/>
      <c r="J566" s="28"/>
      <c r="K566" s="28"/>
      <c r="L566" s="28"/>
      <c r="M566" s="19"/>
    </row>
    <row r="567">
      <c r="A567" s="66"/>
      <c r="B567" s="22">
        <v>45087.0</v>
      </c>
      <c r="C567" s="23" t="s">
        <v>778</v>
      </c>
      <c r="D567" s="61" t="s">
        <v>21</v>
      </c>
      <c r="E567" s="27" t="s">
        <v>376</v>
      </c>
      <c r="F567" s="27" t="s">
        <v>379</v>
      </c>
      <c r="G567" s="27" t="s">
        <v>390</v>
      </c>
      <c r="H567" s="27" t="s">
        <v>44</v>
      </c>
      <c r="I567" s="48"/>
      <c r="J567" s="28"/>
      <c r="K567" s="28"/>
      <c r="L567" s="28"/>
      <c r="M567" s="19"/>
    </row>
    <row r="568">
      <c r="A568" s="66"/>
      <c r="B568" s="22">
        <v>45056.0</v>
      </c>
      <c r="C568" s="23" t="s">
        <v>779</v>
      </c>
      <c r="D568" s="61" t="s">
        <v>21</v>
      </c>
      <c r="E568" s="27" t="s">
        <v>376</v>
      </c>
      <c r="F568" s="27" t="s">
        <v>379</v>
      </c>
      <c r="G568" s="27" t="s">
        <v>191</v>
      </c>
      <c r="H568" s="27" t="s">
        <v>35</v>
      </c>
      <c r="I568" s="48"/>
      <c r="J568" s="28"/>
      <c r="K568" s="28"/>
      <c r="L568" s="28"/>
      <c r="M568" s="19"/>
    </row>
    <row r="569">
      <c r="A569" s="66"/>
      <c r="B569" s="22">
        <v>45239.0</v>
      </c>
      <c r="C569" s="23" t="s">
        <v>780</v>
      </c>
      <c r="D569" s="61" t="s">
        <v>21</v>
      </c>
      <c r="E569" s="27" t="s">
        <v>30</v>
      </c>
      <c r="F569" s="27" t="s">
        <v>31</v>
      </c>
      <c r="G569" s="27" t="s">
        <v>32</v>
      </c>
      <c r="H569" s="27" t="s">
        <v>44</v>
      </c>
      <c r="I569" s="48"/>
      <c r="J569" s="28"/>
      <c r="K569" s="28"/>
      <c r="L569" s="28"/>
      <c r="M569" s="19"/>
    </row>
    <row r="570">
      <c r="A570" s="66"/>
      <c r="B570" s="22">
        <v>45242.0</v>
      </c>
      <c r="C570" s="23" t="s">
        <v>781</v>
      </c>
      <c r="D570" s="61" t="s">
        <v>21</v>
      </c>
      <c r="E570" s="27" t="s">
        <v>30</v>
      </c>
      <c r="F570" s="27" t="s">
        <v>117</v>
      </c>
      <c r="G570" s="27" t="s">
        <v>32</v>
      </c>
      <c r="H570" s="27" t="s">
        <v>44</v>
      </c>
      <c r="I570" s="48"/>
      <c r="J570" s="28"/>
      <c r="K570" s="28"/>
      <c r="L570" s="28"/>
      <c r="M570" s="19"/>
    </row>
    <row r="571">
      <c r="A571" s="66"/>
      <c r="B571" s="71">
        <v>45059.0</v>
      </c>
      <c r="C571" s="23" t="s">
        <v>782</v>
      </c>
      <c r="D571" s="61" t="s">
        <v>21</v>
      </c>
      <c r="E571" s="27" t="s">
        <v>30</v>
      </c>
      <c r="F571" s="27" t="s">
        <v>31</v>
      </c>
      <c r="G571" s="27" t="s">
        <v>32</v>
      </c>
      <c r="H571" s="27" t="s">
        <v>44</v>
      </c>
      <c r="I571" s="48"/>
      <c r="J571" s="28"/>
      <c r="K571" s="28"/>
      <c r="L571" s="28"/>
      <c r="M571" s="19"/>
    </row>
    <row r="572">
      <c r="A572" s="66"/>
      <c r="B572" s="71">
        <v>45059.0</v>
      </c>
      <c r="C572" s="23" t="s">
        <v>783</v>
      </c>
      <c r="D572" s="61" t="s">
        <v>21</v>
      </c>
      <c r="E572" s="27" t="s">
        <v>30</v>
      </c>
      <c r="F572" s="27" t="s">
        <v>117</v>
      </c>
      <c r="G572" s="27" t="s">
        <v>32</v>
      </c>
      <c r="H572" s="27" t="s">
        <v>44</v>
      </c>
      <c r="I572" s="48"/>
      <c r="J572" s="28"/>
      <c r="K572" s="28"/>
      <c r="L572" s="28"/>
      <c r="M572" s="19"/>
    </row>
    <row r="573">
      <c r="A573" s="66"/>
      <c r="B573" s="71">
        <v>45062.0</v>
      </c>
      <c r="C573" s="23" t="s">
        <v>784</v>
      </c>
      <c r="D573" s="61" t="s">
        <v>21</v>
      </c>
      <c r="E573" s="27" t="s">
        <v>30</v>
      </c>
      <c r="F573" s="27" t="s">
        <v>117</v>
      </c>
      <c r="G573" s="27" t="s">
        <v>32</v>
      </c>
      <c r="H573" s="27" t="s">
        <v>44</v>
      </c>
      <c r="I573" s="48"/>
      <c r="J573" s="28"/>
      <c r="K573" s="28"/>
      <c r="L573" s="28"/>
      <c r="M573" s="19"/>
    </row>
    <row r="574">
      <c r="A574" s="66"/>
      <c r="B574" s="22">
        <v>45231.0</v>
      </c>
      <c r="C574" s="23" t="s">
        <v>785</v>
      </c>
      <c r="D574" s="61" t="s">
        <v>21</v>
      </c>
      <c r="E574" s="27" t="s">
        <v>334</v>
      </c>
      <c r="F574" s="27" t="s">
        <v>337</v>
      </c>
      <c r="G574" s="27" t="s">
        <v>32</v>
      </c>
      <c r="H574" s="27" t="s">
        <v>44</v>
      </c>
      <c r="I574" s="48"/>
      <c r="J574" s="28"/>
      <c r="K574" s="28"/>
      <c r="L574" s="28"/>
      <c r="M574" s="19"/>
    </row>
    <row r="575">
      <c r="A575" s="66"/>
      <c r="B575" s="71">
        <v>45065.0</v>
      </c>
      <c r="C575" s="23" t="s">
        <v>786</v>
      </c>
      <c r="D575" s="61" t="s">
        <v>21</v>
      </c>
      <c r="E575" s="27" t="s">
        <v>376</v>
      </c>
      <c r="F575" s="27" t="s">
        <v>424</v>
      </c>
      <c r="G575" s="27" t="s">
        <v>390</v>
      </c>
      <c r="H575" s="27" t="s">
        <v>35</v>
      </c>
      <c r="I575" s="48"/>
      <c r="J575" s="28"/>
      <c r="K575" s="28"/>
      <c r="L575" s="28"/>
      <c r="M575" s="19"/>
    </row>
    <row r="576">
      <c r="A576" s="66"/>
      <c r="B576" s="71">
        <v>45066.0</v>
      </c>
      <c r="C576" s="23" t="s">
        <v>787</v>
      </c>
      <c r="D576" s="61" t="s">
        <v>21</v>
      </c>
      <c r="E576" s="27" t="s">
        <v>30</v>
      </c>
      <c r="F576" s="27" t="s">
        <v>117</v>
      </c>
      <c r="G576" s="27" t="s">
        <v>32</v>
      </c>
      <c r="H576" s="27" t="s">
        <v>44</v>
      </c>
      <c r="I576" s="48"/>
      <c r="J576" s="28"/>
      <c r="K576" s="28"/>
      <c r="L576" s="28"/>
      <c r="M576" s="19"/>
    </row>
    <row r="577">
      <c r="A577" s="66"/>
      <c r="B577" s="22">
        <v>45180.0</v>
      </c>
      <c r="C577" s="23" t="s">
        <v>788</v>
      </c>
      <c r="D577" s="61" t="s">
        <v>21</v>
      </c>
      <c r="E577" s="27" t="s">
        <v>30</v>
      </c>
      <c r="F577" s="27" t="s">
        <v>117</v>
      </c>
      <c r="G577" s="27" t="s">
        <v>32</v>
      </c>
      <c r="H577" s="27" t="s">
        <v>44</v>
      </c>
      <c r="I577" s="48"/>
      <c r="J577" s="28"/>
      <c r="K577" s="28"/>
      <c r="L577" s="28"/>
      <c r="M577" s="19"/>
    </row>
    <row r="578">
      <c r="A578" s="66"/>
      <c r="B578" s="71">
        <v>45068.0</v>
      </c>
      <c r="C578" s="23" t="s">
        <v>789</v>
      </c>
      <c r="D578" s="61" t="s">
        <v>21</v>
      </c>
      <c r="E578" s="27" t="s">
        <v>30</v>
      </c>
      <c r="F578" s="27" t="s">
        <v>117</v>
      </c>
      <c r="G578" s="27" t="s">
        <v>32</v>
      </c>
      <c r="H578" s="27" t="s">
        <v>44</v>
      </c>
      <c r="I578" s="48"/>
      <c r="J578" s="28"/>
      <c r="K578" s="28"/>
      <c r="L578" s="28"/>
      <c r="M578" s="19"/>
    </row>
    <row r="579">
      <c r="A579" s="66"/>
      <c r="B579" s="71">
        <v>45069.0</v>
      </c>
      <c r="C579" s="23" t="s">
        <v>790</v>
      </c>
      <c r="D579" s="61" t="s">
        <v>21</v>
      </c>
      <c r="E579" s="27" t="s">
        <v>30</v>
      </c>
      <c r="F579" s="27" t="s">
        <v>117</v>
      </c>
      <c r="G579" s="27" t="s">
        <v>32</v>
      </c>
      <c r="H579" s="27" t="s">
        <v>44</v>
      </c>
      <c r="I579" s="48"/>
      <c r="J579" s="28"/>
      <c r="K579" s="28"/>
      <c r="L579" s="28"/>
      <c r="M579" s="19"/>
    </row>
    <row r="580">
      <c r="A580" s="66"/>
      <c r="B580" s="22">
        <v>45070.0</v>
      </c>
      <c r="C580" s="23" t="s">
        <v>791</v>
      </c>
      <c r="D580" s="61" t="s">
        <v>21</v>
      </c>
      <c r="E580" s="27" t="s">
        <v>334</v>
      </c>
      <c r="F580" s="27" t="s">
        <v>337</v>
      </c>
      <c r="G580" s="27" t="s">
        <v>32</v>
      </c>
      <c r="H580" s="27" t="s">
        <v>35</v>
      </c>
      <c r="I580" s="48"/>
      <c r="J580" s="28"/>
      <c r="K580" s="28"/>
      <c r="L580" s="28"/>
      <c r="M580" s="19"/>
    </row>
    <row r="581">
      <c r="A581" s="66"/>
      <c r="B581" s="22">
        <v>45233.0</v>
      </c>
      <c r="C581" s="23" t="s">
        <v>792</v>
      </c>
      <c r="D581" s="61" t="s">
        <v>21</v>
      </c>
      <c r="E581" s="27" t="s">
        <v>30</v>
      </c>
      <c r="F581" s="27" t="s">
        <v>117</v>
      </c>
      <c r="G581" s="27" t="s">
        <v>32</v>
      </c>
      <c r="H581" s="27" t="s">
        <v>44</v>
      </c>
      <c r="I581" s="48"/>
      <c r="J581" s="28"/>
      <c r="K581" s="28"/>
      <c r="L581" s="28"/>
      <c r="M581" s="19"/>
    </row>
    <row r="582">
      <c r="A582" s="66"/>
      <c r="B582" s="71">
        <v>45075.0</v>
      </c>
      <c r="C582" s="23" t="s">
        <v>793</v>
      </c>
      <c r="D582" s="61" t="s">
        <v>21</v>
      </c>
      <c r="E582" s="27" t="s">
        <v>334</v>
      </c>
      <c r="F582" s="27" t="s">
        <v>335</v>
      </c>
      <c r="G582" s="27" t="s">
        <v>32</v>
      </c>
      <c r="H582" s="27" t="s">
        <v>44</v>
      </c>
      <c r="I582" s="48"/>
      <c r="J582" s="28"/>
      <c r="K582" s="28"/>
      <c r="L582" s="28"/>
      <c r="M582" s="19"/>
    </row>
    <row r="583">
      <c r="A583" s="66"/>
      <c r="B583" s="22">
        <v>45178.0</v>
      </c>
      <c r="C583" s="23" t="s">
        <v>794</v>
      </c>
      <c r="D583" s="61" t="s">
        <v>21</v>
      </c>
      <c r="E583" s="27" t="s">
        <v>376</v>
      </c>
      <c r="F583" s="27" t="s">
        <v>117</v>
      </c>
      <c r="G583" s="27" t="s">
        <v>359</v>
      </c>
      <c r="H583" s="27" t="s">
        <v>44</v>
      </c>
      <c r="I583" s="48"/>
      <c r="J583" s="28"/>
      <c r="K583" s="28"/>
      <c r="L583" s="28"/>
      <c r="M583" s="19"/>
    </row>
    <row r="584">
      <c r="A584" s="66"/>
      <c r="B584" s="71">
        <v>45077.0</v>
      </c>
      <c r="C584" s="23" t="s">
        <v>795</v>
      </c>
      <c r="D584" s="61" t="s">
        <v>21</v>
      </c>
      <c r="E584" s="27" t="s">
        <v>30</v>
      </c>
      <c r="F584" s="27" t="s">
        <v>117</v>
      </c>
      <c r="G584" s="27" t="s">
        <v>32</v>
      </c>
      <c r="H584" s="27" t="s">
        <v>44</v>
      </c>
      <c r="I584" s="48"/>
      <c r="J584" s="28"/>
      <c r="K584" s="28"/>
      <c r="L584" s="28"/>
      <c r="M584" s="19"/>
    </row>
    <row r="585">
      <c r="A585" s="66"/>
      <c r="B585" s="71">
        <v>45081.0</v>
      </c>
      <c r="C585" s="23" t="s">
        <v>796</v>
      </c>
      <c r="D585" s="61" t="s">
        <v>21</v>
      </c>
      <c r="E585" s="27" t="s">
        <v>376</v>
      </c>
      <c r="F585" s="27" t="s">
        <v>424</v>
      </c>
      <c r="G585" s="27" t="s">
        <v>32</v>
      </c>
      <c r="H585" s="27" t="s">
        <v>35</v>
      </c>
      <c r="I585" s="48"/>
      <c r="J585" s="28"/>
      <c r="K585" s="28"/>
      <c r="L585" s="28"/>
      <c r="M585" s="19"/>
    </row>
    <row r="586">
      <c r="A586" s="66"/>
      <c r="B586" s="22">
        <v>45219.0</v>
      </c>
      <c r="C586" s="23" t="s">
        <v>797</v>
      </c>
      <c r="D586" s="61" t="s">
        <v>21</v>
      </c>
      <c r="E586" s="27" t="s">
        <v>334</v>
      </c>
      <c r="F586" s="27" t="s">
        <v>335</v>
      </c>
      <c r="G586" s="27" t="s">
        <v>191</v>
      </c>
      <c r="H586" s="27" t="s">
        <v>44</v>
      </c>
      <c r="I586" s="48"/>
      <c r="J586" s="28"/>
      <c r="K586" s="28"/>
      <c r="L586" s="28"/>
      <c r="M586" s="19"/>
    </row>
    <row r="587">
      <c r="A587" s="66"/>
      <c r="B587" s="22">
        <v>45245.0</v>
      </c>
      <c r="C587" s="23" t="s">
        <v>798</v>
      </c>
      <c r="D587" s="61" t="s">
        <v>21</v>
      </c>
      <c r="E587" s="27" t="s">
        <v>30</v>
      </c>
      <c r="F587" s="27" t="s">
        <v>117</v>
      </c>
      <c r="G587" s="27" t="s">
        <v>32</v>
      </c>
      <c r="H587" s="27" t="s">
        <v>44</v>
      </c>
      <c r="I587" s="48"/>
      <c r="J587" s="28"/>
      <c r="K587" s="28"/>
      <c r="L587" s="28"/>
      <c r="M587" s="19"/>
    </row>
    <row r="588">
      <c r="A588" s="66"/>
      <c r="B588" s="22">
        <v>45082.0</v>
      </c>
      <c r="C588" s="23" t="s">
        <v>799</v>
      </c>
      <c r="D588" s="61" t="s">
        <v>21</v>
      </c>
      <c r="E588" s="27" t="s">
        <v>392</v>
      </c>
      <c r="F588" s="27" t="s">
        <v>424</v>
      </c>
      <c r="G588" s="27" t="s">
        <v>390</v>
      </c>
      <c r="H588" s="27" t="s">
        <v>44</v>
      </c>
      <c r="I588" s="48"/>
      <c r="J588" s="28"/>
      <c r="K588" s="28"/>
      <c r="L588" s="28"/>
      <c r="M588" s="19"/>
    </row>
    <row r="589">
      <c r="A589" s="66"/>
      <c r="B589" s="71">
        <v>45086.0</v>
      </c>
      <c r="C589" s="23" t="s">
        <v>800</v>
      </c>
      <c r="D589" s="61" t="s">
        <v>21</v>
      </c>
      <c r="E589" s="27" t="s">
        <v>334</v>
      </c>
      <c r="F589" s="27" t="s">
        <v>337</v>
      </c>
      <c r="G589" s="27" t="s">
        <v>32</v>
      </c>
      <c r="H589" s="27" t="s">
        <v>44</v>
      </c>
      <c r="I589" s="48"/>
      <c r="J589" s="28"/>
      <c r="K589" s="28"/>
      <c r="L589" s="28"/>
      <c r="M589" s="19"/>
    </row>
    <row r="590">
      <c r="A590" s="66"/>
      <c r="B590" s="71">
        <v>45087.0</v>
      </c>
      <c r="C590" s="23" t="s">
        <v>801</v>
      </c>
      <c r="D590" s="61" t="s">
        <v>21</v>
      </c>
      <c r="E590" s="27" t="s">
        <v>376</v>
      </c>
      <c r="F590" s="27" t="s">
        <v>802</v>
      </c>
      <c r="G590" s="27" t="s">
        <v>390</v>
      </c>
      <c r="H590" s="27" t="s">
        <v>44</v>
      </c>
      <c r="I590" s="48"/>
      <c r="J590" s="28"/>
      <c r="K590" s="28"/>
      <c r="L590" s="28"/>
      <c r="M590" s="19"/>
    </row>
    <row r="591">
      <c r="A591" s="66"/>
      <c r="B591" s="22">
        <v>45089.0</v>
      </c>
      <c r="C591" s="23" t="s">
        <v>803</v>
      </c>
      <c r="D591" s="61" t="s">
        <v>21</v>
      </c>
      <c r="E591" s="27" t="s">
        <v>334</v>
      </c>
      <c r="F591" s="27" t="s">
        <v>337</v>
      </c>
      <c r="G591" s="27" t="s">
        <v>32</v>
      </c>
      <c r="H591" s="27" t="s">
        <v>35</v>
      </c>
      <c r="I591" s="48"/>
      <c r="J591" s="28"/>
      <c r="K591" s="28"/>
      <c r="L591" s="28"/>
      <c r="M591" s="19"/>
    </row>
    <row r="592">
      <c r="A592" s="66"/>
      <c r="B592" s="22">
        <v>45145.0</v>
      </c>
      <c r="C592" s="23" t="s">
        <v>804</v>
      </c>
      <c r="D592" s="61" t="s">
        <v>21</v>
      </c>
      <c r="E592" s="27" t="s">
        <v>334</v>
      </c>
      <c r="F592" s="27" t="s">
        <v>335</v>
      </c>
      <c r="G592" s="27" t="s">
        <v>32</v>
      </c>
      <c r="H592" s="27" t="s">
        <v>44</v>
      </c>
      <c r="I592" s="48"/>
      <c r="J592" s="28"/>
      <c r="K592" s="28"/>
      <c r="L592" s="28"/>
      <c r="M592" s="19"/>
    </row>
    <row r="593">
      <c r="A593" s="66"/>
      <c r="B593" s="71">
        <v>45090.0</v>
      </c>
      <c r="C593" s="23" t="s">
        <v>805</v>
      </c>
      <c r="D593" s="61" t="s">
        <v>21</v>
      </c>
      <c r="E593" s="27" t="s">
        <v>30</v>
      </c>
      <c r="F593" s="27" t="s">
        <v>31</v>
      </c>
      <c r="G593" s="27" t="s">
        <v>32</v>
      </c>
      <c r="H593" s="27" t="s">
        <v>44</v>
      </c>
      <c r="I593" s="48"/>
      <c r="J593" s="28"/>
      <c r="K593" s="28"/>
      <c r="L593" s="28"/>
      <c r="M593" s="19"/>
    </row>
    <row r="594">
      <c r="A594" s="66"/>
      <c r="B594" s="22">
        <v>45093.0</v>
      </c>
      <c r="C594" s="23" t="s">
        <v>806</v>
      </c>
      <c r="D594" s="61" t="s">
        <v>21</v>
      </c>
      <c r="E594" s="27" t="s">
        <v>359</v>
      </c>
      <c r="F594" s="27" t="s">
        <v>117</v>
      </c>
      <c r="G594" s="27" t="s">
        <v>32</v>
      </c>
      <c r="H594" s="27" t="s">
        <v>35</v>
      </c>
      <c r="I594" s="48"/>
      <c r="J594" s="28"/>
      <c r="K594" s="28"/>
      <c r="L594" s="28"/>
      <c r="M594" s="19"/>
    </row>
    <row r="595">
      <c r="A595" s="66"/>
      <c r="B595" s="22">
        <v>45166.0</v>
      </c>
      <c r="C595" s="23" t="s">
        <v>807</v>
      </c>
      <c r="D595" s="61" t="s">
        <v>21</v>
      </c>
      <c r="E595" s="27" t="s">
        <v>334</v>
      </c>
      <c r="F595" s="27" t="s">
        <v>335</v>
      </c>
      <c r="G595" s="27" t="s">
        <v>32</v>
      </c>
      <c r="H595" s="27" t="s">
        <v>44</v>
      </c>
      <c r="I595" s="48"/>
      <c r="J595" s="28"/>
      <c r="K595" s="28"/>
      <c r="L595" s="28"/>
      <c r="M595" s="19"/>
    </row>
    <row r="596">
      <c r="A596" s="66"/>
      <c r="B596" s="71">
        <v>45095.0</v>
      </c>
      <c r="C596" s="23" t="s">
        <v>808</v>
      </c>
      <c r="D596" s="61" t="s">
        <v>21</v>
      </c>
      <c r="E596" s="27" t="s">
        <v>30</v>
      </c>
      <c r="F596" s="27" t="s">
        <v>117</v>
      </c>
      <c r="G596" s="27" t="s">
        <v>32</v>
      </c>
      <c r="H596" s="27" t="s">
        <v>44</v>
      </c>
      <c r="I596" s="48"/>
      <c r="J596" s="28"/>
      <c r="K596" s="28"/>
      <c r="L596" s="28"/>
      <c r="M596" s="19"/>
    </row>
    <row r="597">
      <c r="A597" s="66"/>
      <c r="B597" s="22">
        <v>45207.0</v>
      </c>
      <c r="C597" s="23" t="s">
        <v>809</v>
      </c>
      <c r="D597" s="61" t="s">
        <v>21</v>
      </c>
      <c r="E597" s="27" t="s">
        <v>376</v>
      </c>
      <c r="F597" s="27" t="s">
        <v>337</v>
      </c>
      <c r="G597" s="27" t="s">
        <v>32</v>
      </c>
      <c r="H597" s="27" t="s">
        <v>44</v>
      </c>
      <c r="I597" s="48"/>
      <c r="J597" s="28"/>
      <c r="K597" s="28"/>
      <c r="L597" s="28"/>
      <c r="M597" s="19"/>
    </row>
    <row r="598">
      <c r="A598" s="66"/>
      <c r="B598" s="22">
        <v>45196.0</v>
      </c>
      <c r="C598" s="23" t="s">
        <v>810</v>
      </c>
      <c r="D598" s="61" t="s">
        <v>21</v>
      </c>
      <c r="E598" s="27" t="s">
        <v>30</v>
      </c>
      <c r="F598" s="27" t="s">
        <v>117</v>
      </c>
      <c r="G598" s="27" t="s">
        <v>32</v>
      </c>
      <c r="H598" s="27" t="s">
        <v>44</v>
      </c>
      <c r="I598" s="48"/>
      <c r="J598" s="28"/>
      <c r="K598" s="28"/>
      <c r="L598" s="28"/>
      <c r="M598" s="19"/>
    </row>
    <row r="599">
      <c r="A599" s="66"/>
      <c r="B599" s="22">
        <v>45205.0</v>
      </c>
      <c r="C599" s="23" t="s">
        <v>811</v>
      </c>
      <c r="D599" s="61" t="s">
        <v>21</v>
      </c>
      <c r="E599" s="27" t="s">
        <v>30</v>
      </c>
      <c r="F599" s="27" t="s">
        <v>117</v>
      </c>
      <c r="G599" s="27" t="s">
        <v>32</v>
      </c>
      <c r="H599" s="27" t="s">
        <v>44</v>
      </c>
      <c r="I599" s="48"/>
      <c r="J599" s="28"/>
      <c r="K599" s="28"/>
      <c r="L599" s="28"/>
      <c r="M599" s="19"/>
    </row>
    <row r="600">
      <c r="A600" s="66"/>
      <c r="B600" s="71">
        <v>45102.0</v>
      </c>
      <c r="C600" s="23" t="s">
        <v>812</v>
      </c>
      <c r="D600" s="61" t="s">
        <v>21</v>
      </c>
      <c r="E600" s="27" t="s">
        <v>359</v>
      </c>
      <c r="F600" s="27" t="s">
        <v>379</v>
      </c>
      <c r="G600" s="27" t="s">
        <v>359</v>
      </c>
      <c r="H600" s="27" t="s">
        <v>44</v>
      </c>
      <c r="I600" s="48"/>
      <c r="J600" s="28"/>
      <c r="K600" s="28"/>
      <c r="L600" s="28"/>
      <c r="M600" s="19"/>
    </row>
    <row r="601">
      <c r="A601" s="66"/>
      <c r="B601" s="71">
        <v>45102.0</v>
      </c>
      <c r="C601" s="23" t="s">
        <v>813</v>
      </c>
      <c r="D601" s="61" t="s">
        <v>21</v>
      </c>
      <c r="E601" s="27" t="s">
        <v>376</v>
      </c>
      <c r="F601" s="27" t="s">
        <v>379</v>
      </c>
      <c r="G601" s="27" t="s">
        <v>32</v>
      </c>
      <c r="H601" s="27" t="s">
        <v>44</v>
      </c>
      <c r="I601" s="48"/>
      <c r="J601" s="28"/>
      <c r="K601" s="28"/>
      <c r="L601" s="28"/>
      <c r="M601" s="19"/>
    </row>
    <row r="602">
      <c r="A602" s="66"/>
      <c r="B602" s="22">
        <v>45213.0</v>
      </c>
      <c r="C602" s="23" t="s">
        <v>814</v>
      </c>
      <c r="D602" s="61" t="s">
        <v>21</v>
      </c>
      <c r="E602" s="27" t="s">
        <v>30</v>
      </c>
      <c r="F602" s="27" t="s">
        <v>117</v>
      </c>
      <c r="G602" s="27" t="s">
        <v>32</v>
      </c>
      <c r="H602" s="27" t="s">
        <v>44</v>
      </c>
      <c r="I602" s="48"/>
      <c r="J602" s="28"/>
      <c r="K602" s="28"/>
      <c r="L602" s="28"/>
      <c r="M602" s="19"/>
    </row>
    <row r="603">
      <c r="A603" s="66"/>
      <c r="B603" s="22">
        <v>45145.0</v>
      </c>
      <c r="C603" s="23" t="s">
        <v>815</v>
      </c>
      <c r="D603" s="61" t="s">
        <v>21</v>
      </c>
      <c r="E603" s="27" t="s">
        <v>30</v>
      </c>
      <c r="F603" s="27" t="s">
        <v>31</v>
      </c>
      <c r="G603" s="27" t="s">
        <v>32</v>
      </c>
      <c r="H603" s="27" t="s">
        <v>44</v>
      </c>
      <c r="I603" s="48"/>
      <c r="J603" s="28"/>
      <c r="K603" s="28"/>
      <c r="L603" s="28"/>
      <c r="M603" s="19"/>
    </row>
    <row r="604">
      <c r="A604" s="66"/>
      <c r="B604" s="22">
        <v>45155.0</v>
      </c>
      <c r="C604" s="23" t="s">
        <v>816</v>
      </c>
      <c r="D604" s="61" t="s">
        <v>21</v>
      </c>
      <c r="E604" s="27" t="s">
        <v>376</v>
      </c>
      <c r="F604" s="27" t="s">
        <v>31</v>
      </c>
      <c r="G604" s="27" t="s">
        <v>359</v>
      </c>
      <c r="H604" s="27" t="s">
        <v>44</v>
      </c>
      <c r="I604" s="48"/>
      <c r="J604" s="28"/>
      <c r="K604" s="28"/>
      <c r="L604" s="28"/>
      <c r="M604" s="19"/>
    </row>
    <row r="605">
      <c r="A605" s="66"/>
      <c r="B605" s="22">
        <v>45244.0</v>
      </c>
      <c r="C605" s="23" t="s">
        <v>817</v>
      </c>
      <c r="D605" s="61" t="s">
        <v>21</v>
      </c>
      <c r="E605" s="27" t="s">
        <v>334</v>
      </c>
      <c r="F605" s="27" t="s">
        <v>337</v>
      </c>
      <c r="G605" s="27" t="s">
        <v>32</v>
      </c>
      <c r="H605" s="27" t="s">
        <v>44</v>
      </c>
      <c r="I605" s="48"/>
      <c r="J605" s="28"/>
      <c r="K605" s="28"/>
      <c r="L605" s="28"/>
      <c r="M605" s="19"/>
    </row>
    <row r="606">
      <c r="A606" s="66"/>
      <c r="B606" s="22">
        <v>45107.0</v>
      </c>
      <c r="C606" s="23" t="s">
        <v>818</v>
      </c>
      <c r="D606" s="61" t="s">
        <v>21</v>
      </c>
      <c r="E606" s="27" t="s">
        <v>30</v>
      </c>
      <c r="F606" s="27" t="s">
        <v>117</v>
      </c>
      <c r="G606" s="27" t="s">
        <v>32</v>
      </c>
      <c r="H606" s="27" t="s">
        <v>44</v>
      </c>
      <c r="I606" s="48"/>
      <c r="J606" s="28"/>
      <c r="K606" s="28"/>
      <c r="L606" s="28"/>
      <c r="M606" s="19"/>
    </row>
    <row r="607">
      <c r="A607" s="66"/>
      <c r="B607" s="22">
        <v>45173.0</v>
      </c>
      <c r="C607" s="23" t="s">
        <v>819</v>
      </c>
      <c r="D607" s="61" t="s">
        <v>21</v>
      </c>
      <c r="E607" s="27" t="s">
        <v>30</v>
      </c>
      <c r="F607" s="27" t="s">
        <v>117</v>
      </c>
      <c r="G607" s="27" t="s">
        <v>820</v>
      </c>
      <c r="H607" s="27" t="s">
        <v>44</v>
      </c>
      <c r="I607" s="48"/>
      <c r="J607" s="28"/>
      <c r="K607" s="28"/>
      <c r="L607" s="28"/>
      <c r="M607" s="19"/>
    </row>
    <row r="608">
      <c r="A608" s="66"/>
      <c r="B608" s="71">
        <v>45115.0</v>
      </c>
      <c r="C608" s="23" t="s">
        <v>821</v>
      </c>
      <c r="D608" s="61" t="s">
        <v>21</v>
      </c>
      <c r="E608" s="27" t="s">
        <v>30</v>
      </c>
      <c r="F608" s="27" t="s">
        <v>117</v>
      </c>
      <c r="G608" s="27" t="s">
        <v>32</v>
      </c>
      <c r="H608" s="27" t="s">
        <v>44</v>
      </c>
      <c r="I608" s="48"/>
      <c r="J608" s="28"/>
      <c r="K608" s="28"/>
      <c r="L608" s="28"/>
      <c r="M608" s="19"/>
    </row>
    <row r="609">
      <c r="A609" s="66"/>
      <c r="B609" s="71">
        <v>45115.0</v>
      </c>
      <c r="C609" s="23" t="s">
        <v>822</v>
      </c>
      <c r="D609" s="61" t="s">
        <v>21</v>
      </c>
      <c r="E609" s="27" t="s">
        <v>30</v>
      </c>
      <c r="F609" s="27" t="s">
        <v>117</v>
      </c>
      <c r="G609" s="27" t="s">
        <v>32</v>
      </c>
      <c r="H609" s="27" t="s">
        <v>44</v>
      </c>
      <c r="I609" s="48"/>
      <c r="J609" s="28"/>
      <c r="K609" s="28"/>
      <c r="L609" s="28"/>
      <c r="M609" s="19"/>
    </row>
    <row r="610">
      <c r="A610" s="66"/>
      <c r="B610" s="71">
        <v>45116.0</v>
      </c>
      <c r="C610" s="23" t="s">
        <v>823</v>
      </c>
      <c r="D610" s="61" t="s">
        <v>21</v>
      </c>
      <c r="E610" s="27" t="s">
        <v>30</v>
      </c>
      <c r="F610" s="27" t="s">
        <v>31</v>
      </c>
      <c r="G610" s="27" t="s">
        <v>32</v>
      </c>
      <c r="H610" s="27" t="s">
        <v>44</v>
      </c>
      <c r="I610" s="48"/>
      <c r="J610" s="28"/>
      <c r="K610" s="28"/>
      <c r="L610" s="28"/>
      <c r="M610" s="19"/>
    </row>
    <row r="611">
      <c r="A611" s="66"/>
      <c r="B611" s="22">
        <v>45243.0</v>
      </c>
      <c r="C611" s="23" t="s">
        <v>824</v>
      </c>
      <c r="D611" s="61" t="s">
        <v>21</v>
      </c>
      <c r="E611" s="27" t="s">
        <v>30</v>
      </c>
      <c r="F611" s="27" t="s">
        <v>117</v>
      </c>
      <c r="G611" s="27" t="s">
        <v>32</v>
      </c>
      <c r="H611" s="27" t="s">
        <v>44</v>
      </c>
      <c r="I611" s="48"/>
      <c r="J611" s="28"/>
      <c r="K611" s="28"/>
      <c r="L611" s="28"/>
      <c r="M611" s="19"/>
    </row>
    <row r="612">
      <c r="A612" s="66"/>
      <c r="B612" s="22">
        <v>45201.0</v>
      </c>
      <c r="C612" s="23" t="s">
        <v>825</v>
      </c>
      <c r="D612" s="61" t="s">
        <v>21</v>
      </c>
      <c r="E612" s="27" t="s">
        <v>30</v>
      </c>
      <c r="F612" s="27" t="s">
        <v>31</v>
      </c>
      <c r="G612" s="27" t="s">
        <v>32</v>
      </c>
      <c r="H612" s="27" t="s">
        <v>44</v>
      </c>
      <c r="I612" s="48"/>
      <c r="J612" s="28"/>
      <c r="K612" s="28"/>
      <c r="L612" s="28"/>
      <c r="M612" s="19"/>
    </row>
    <row r="613">
      <c r="A613" s="66"/>
      <c r="B613" s="22">
        <v>45177.0</v>
      </c>
      <c r="C613" s="23" t="s">
        <v>826</v>
      </c>
      <c r="D613" s="61" t="s">
        <v>21</v>
      </c>
      <c r="E613" s="27" t="s">
        <v>376</v>
      </c>
      <c r="F613" s="27" t="s">
        <v>424</v>
      </c>
      <c r="G613" s="27" t="s">
        <v>390</v>
      </c>
      <c r="H613" s="27" t="s">
        <v>44</v>
      </c>
      <c r="I613" s="48"/>
      <c r="J613" s="28"/>
      <c r="K613" s="28"/>
      <c r="L613" s="28"/>
      <c r="M613" s="19"/>
    </row>
    <row r="614">
      <c r="A614" s="66"/>
      <c r="B614" s="71">
        <v>45123.0</v>
      </c>
      <c r="C614" s="23" t="s">
        <v>827</v>
      </c>
      <c r="D614" s="61" t="s">
        <v>21</v>
      </c>
      <c r="E614" s="27" t="s">
        <v>30</v>
      </c>
      <c r="F614" s="27" t="s">
        <v>117</v>
      </c>
      <c r="G614" s="27" t="s">
        <v>32</v>
      </c>
      <c r="H614" s="27" t="s">
        <v>44</v>
      </c>
      <c r="I614" s="48"/>
      <c r="J614" s="28"/>
      <c r="K614" s="28"/>
      <c r="L614" s="28"/>
      <c r="M614" s="19"/>
    </row>
    <row r="615">
      <c r="A615" s="66"/>
      <c r="B615" s="22">
        <v>45232.0</v>
      </c>
      <c r="C615" s="23" t="s">
        <v>828</v>
      </c>
      <c r="D615" s="61" t="s">
        <v>21</v>
      </c>
      <c r="E615" s="27" t="s">
        <v>376</v>
      </c>
      <c r="F615" s="27" t="s">
        <v>424</v>
      </c>
      <c r="G615" s="27" t="s">
        <v>359</v>
      </c>
      <c r="H615" s="27" t="s">
        <v>44</v>
      </c>
      <c r="I615" s="48"/>
      <c r="J615" s="28"/>
      <c r="K615" s="28"/>
      <c r="L615" s="28"/>
      <c r="M615" s="19"/>
    </row>
    <row r="616">
      <c r="A616" s="66"/>
      <c r="B616" s="22">
        <v>45128.0</v>
      </c>
      <c r="C616" s="23" t="s">
        <v>829</v>
      </c>
      <c r="D616" s="61" t="s">
        <v>21</v>
      </c>
      <c r="E616" s="27" t="s">
        <v>30</v>
      </c>
      <c r="F616" s="27" t="s">
        <v>117</v>
      </c>
      <c r="G616" s="27" t="s">
        <v>32</v>
      </c>
      <c r="H616" s="27" t="s">
        <v>35</v>
      </c>
      <c r="I616" s="48"/>
      <c r="J616" s="28"/>
      <c r="K616" s="28"/>
      <c r="L616" s="28"/>
      <c r="M616" s="19"/>
    </row>
    <row r="617">
      <c r="A617" s="66"/>
      <c r="B617" s="22">
        <v>45180.0</v>
      </c>
      <c r="C617" s="23" t="s">
        <v>830</v>
      </c>
      <c r="D617" s="61" t="s">
        <v>21</v>
      </c>
      <c r="E617" s="27" t="s">
        <v>30</v>
      </c>
      <c r="F617" s="27" t="s">
        <v>117</v>
      </c>
      <c r="G617" s="27" t="s">
        <v>32</v>
      </c>
      <c r="H617" s="27" t="s">
        <v>44</v>
      </c>
      <c r="I617" s="48"/>
      <c r="J617" s="28"/>
      <c r="K617" s="28"/>
      <c r="L617" s="28"/>
      <c r="M617" s="19"/>
    </row>
    <row r="618">
      <c r="A618" s="66"/>
      <c r="B618" s="22">
        <v>45246.0</v>
      </c>
      <c r="C618" s="23" t="s">
        <v>831</v>
      </c>
      <c r="D618" s="61" t="s">
        <v>21</v>
      </c>
      <c r="E618" s="27" t="s">
        <v>30</v>
      </c>
      <c r="F618" s="27" t="s">
        <v>31</v>
      </c>
      <c r="G618" s="27" t="s">
        <v>32</v>
      </c>
      <c r="H618" s="27" t="s">
        <v>44</v>
      </c>
      <c r="I618" s="48"/>
      <c r="J618" s="28"/>
      <c r="K618" s="28"/>
      <c r="L618" s="28"/>
      <c r="M618" s="19"/>
    </row>
    <row r="619">
      <c r="A619" s="66"/>
      <c r="B619" s="22">
        <v>45238.0</v>
      </c>
      <c r="C619" s="23" t="s">
        <v>832</v>
      </c>
      <c r="D619" s="61" t="s">
        <v>21</v>
      </c>
      <c r="E619" s="27" t="s">
        <v>334</v>
      </c>
      <c r="F619" s="27" t="s">
        <v>337</v>
      </c>
      <c r="G619" s="27" t="s">
        <v>32</v>
      </c>
      <c r="H619" s="27" t="s">
        <v>44</v>
      </c>
      <c r="I619" s="48"/>
      <c r="J619" s="28"/>
      <c r="K619" s="28"/>
      <c r="L619" s="28"/>
      <c r="M619" s="19"/>
    </row>
    <row r="620">
      <c r="A620" s="66"/>
      <c r="B620" s="71">
        <v>45133.0</v>
      </c>
      <c r="C620" s="23" t="s">
        <v>833</v>
      </c>
      <c r="D620" s="61" t="s">
        <v>21</v>
      </c>
      <c r="E620" s="27" t="s">
        <v>334</v>
      </c>
      <c r="F620" s="27" t="s">
        <v>337</v>
      </c>
      <c r="G620" s="27" t="s">
        <v>32</v>
      </c>
      <c r="H620" s="27" t="s">
        <v>44</v>
      </c>
      <c r="I620" s="48"/>
      <c r="J620" s="28"/>
      <c r="K620" s="28"/>
      <c r="L620" s="28"/>
      <c r="M620" s="19"/>
    </row>
    <row r="621">
      <c r="A621" s="66"/>
      <c r="B621" s="71">
        <v>45133.0</v>
      </c>
      <c r="C621" s="23" t="s">
        <v>834</v>
      </c>
      <c r="D621" s="61" t="s">
        <v>21</v>
      </c>
      <c r="E621" s="27" t="s">
        <v>376</v>
      </c>
      <c r="F621" s="27" t="s">
        <v>379</v>
      </c>
      <c r="G621" s="27" t="s">
        <v>390</v>
      </c>
      <c r="H621" s="27" t="s">
        <v>44</v>
      </c>
      <c r="I621" s="48"/>
      <c r="J621" s="28"/>
      <c r="K621" s="28"/>
      <c r="L621" s="28"/>
      <c r="M621" s="19"/>
    </row>
    <row r="622">
      <c r="A622" s="66"/>
      <c r="B622" s="71">
        <v>45134.0</v>
      </c>
      <c r="C622" s="23" t="s">
        <v>835</v>
      </c>
      <c r="D622" s="61" t="s">
        <v>21</v>
      </c>
      <c r="E622" s="27" t="s">
        <v>30</v>
      </c>
      <c r="F622" s="27" t="s">
        <v>31</v>
      </c>
      <c r="G622" s="27" t="s">
        <v>32</v>
      </c>
      <c r="H622" s="27" t="s">
        <v>44</v>
      </c>
      <c r="I622" s="48"/>
      <c r="J622" s="28"/>
      <c r="K622" s="28"/>
      <c r="L622" s="28"/>
      <c r="M622" s="19"/>
    </row>
    <row r="623">
      <c r="A623" s="66"/>
      <c r="B623" s="71">
        <v>45136.0</v>
      </c>
      <c r="C623" s="23" t="s">
        <v>836</v>
      </c>
      <c r="D623" s="61" t="s">
        <v>21</v>
      </c>
      <c r="E623" s="27" t="s">
        <v>30</v>
      </c>
      <c r="F623" s="27" t="s">
        <v>117</v>
      </c>
      <c r="G623" s="27" t="s">
        <v>32</v>
      </c>
      <c r="H623" s="27" t="s">
        <v>44</v>
      </c>
      <c r="I623" s="48"/>
      <c r="J623" s="28"/>
      <c r="K623" s="28"/>
      <c r="L623" s="28"/>
      <c r="M623" s="19"/>
    </row>
    <row r="624">
      <c r="A624" s="66"/>
      <c r="B624" s="22">
        <v>45238.0</v>
      </c>
      <c r="C624" s="23" t="s">
        <v>837</v>
      </c>
      <c r="D624" s="61" t="s">
        <v>21</v>
      </c>
      <c r="E624" s="27" t="s">
        <v>334</v>
      </c>
      <c r="F624" s="27" t="s">
        <v>337</v>
      </c>
      <c r="G624" s="27" t="s">
        <v>32</v>
      </c>
      <c r="H624" s="27" t="s">
        <v>44</v>
      </c>
      <c r="I624" s="48"/>
      <c r="J624" s="28"/>
      <c r="K624" s="28"/>
      <c r="L624" s="28"/>
      <c r="M624" s="19"/>
    </row>
    <row r="625">
      <c r="A625" s="66"/>
      <c r="B625" s="22">
        <v>45213.0</v>
      </c>
      <c r="C625" s="23" t="s">
        <v>838</v>
      </c>
      <c r="D625" s="61" t="s">
        <v>21</v>
      </c>
      <c r="E625" s="27" t="s">
        <v>30</v>
      </c>
      <c r="F625" s="27" t="s">
        <v>31</v>
      </c>
      <c r="G625" s="27" t="s">
        <v>32</v>
      </c>
      <c r="H625" s="27" t="s">
        <v>44</v>
      </c>
      <c r="I625" s="48"/>
      <c r="J625" s="28"/>
      <c r="K625" s="28"/>
      <c r="L625" s="28"/>
      <c r="M625" s="19"/>
    </row>
    <row r="626">
      <c r="A626" s="66"/>
      <c r="B626" s="71">
        <v>45137.0</v>
      </c>
      <c r="C626" s="23" t="s">
        <v>839</v>
      </c>
      <c r="D626" s="61" t="s">
        <v>21</v>
      </c>
      <c r="E626" s="27" t="s">
        <v>30</v>
      </c>
      <c r="F626" s="27" t="s">
        <v>117</v>
      </c>
      <c r="G626" s="27" t="s">
        <v>32</v>
      </c>
      <c r="H626" s="27" t="s">
        <v>44</v>
      </c>
      <c r="I626" s="48"/>
      <c r="J626" s="28"/>
      <c r="K626" s="28"/>
      <c r="L626" s="28"/>
      <c r="M626" s="19"/>
    </row>
    <row r="627">
      <c r="A627" s="66"/>
      <c r="B627" s="71">
        <v>45138.0</v>
      </c>
      <c r="C627" s="23" t="s">
        <v>840</v>
      </c>
      <c r="D627" s="61" t="s">
        <v>21</v>
      </c>
      <c r="E627" s="27" t="s">
        <v>376</v>
      </c>
      <c r="F627" s="27" t="s">
        <v>424</v>
      </c>
      <c r="G627" s="27" t="s">
        <v>390</v>
      </c>
      <c r="H627" s="27" t="s">
        <v>35</v>
      </c>
      <c r="I627" s="48"/>
      <c r="J627" s="28"/>
      <c r="K627" s="28"/>
      <c r="L627" s="28"/>
      <c r="M627" s="19"/>
    </row>
    <row r="628">
      <c r="A628" s="66"/>
      <c r="B628" s="71">
        <v>45139.0</v>
      </c>
      <c r="C628" s="23" t="s">
        <v>841</v>
      </c>
      <c r="D628" s="61" t="s">
        <v>21</v>
      </c>
      <c r="E628" s="27" t="s">
        <v>30</v>
      </c>
      <c r="F628" s="27" t="s">
        <v>31</v>
      </c>
      <c r="G628" s="27" t="s">
        <v>32</v>
      </c>
      <c r="H628" s="27" t="s">
        <v>44</v>
      </c>
      <c r="I628" s="48"/>
      <c r="J628" s="28"/>
      <c r="K628" s="28"/>
      <c r="L628" s="28"/>
      <c r="M628" s="19"/>
    </row>
    <row r="629">
      <c r="A629" s="66"/>
      <c r="B629" s="22">
        <v>45186.0</v>
      </c>
      <c r="C629" s="23" t="s">
        <v>842</v>
      </c>
      <c r="D629" s="61" t="s">
        <v>21</v>
      </c>
      <c r="E629" s="27" t="s">
        <v>30</v>
      </c>
      <c r="F629" s="27" t="s">
        <v>117</v>
      </c>
      <c r="G629" s="27" t="s">
        <v>32</v>
      </c>
      <c r="H629" s="27" t="s">
        <v>44</v>
      </c>
      <c r="I629" s="48"/>
      <c r="J629" s="28"/>
      <c r="K629" s="28"/>
      <c r="L629" s="28"/>
      <c r="M629" s="19"/>
    </row>
    <row r="630">
      <c r="A630" s="66"/>
      <c r="B630" s="22">
        <v>45144.0</v>
      </c>
      <c r="C630" s="23" t="s">
        <v>843</v>
      </c>
      <c r="D630" s="61" t="s">
        <v>21</v>
      </c>
      <c r="E630" s="27" t="s">
        <v>376</v>
      </c>
      <c r="F630" s="27" t="s">
        <v>31</v>
      </c>
      <c r="G630" s="27" t="s">
        <v>390</v>
      </c>
      <c r="H630" s="27" t="s">
        <v>35</v>
      </c>
      <c r="I630" s="48"/>
      <c r="J630" s="28"/>
      <c r="K630" s="28"/>
      <c r="L630" s="28"/>
      <c r="M630" s="19"/>
    </row>
    <row r="631">
      <c r="A631" s="66"/>
      <c r="B631" s="71">
        <v>45145.0</v>
      </c>
      <c r="C631" s="23" t="s">
        <v>844</v>
      </c>
      <c r="D631" s="61" t="s">
        <v>21</v>
      </c>
      <c r="E631" s="27" t="s">
        <v>30</v>
      </c>
      <c r="F631" s="27" t="s">
        <v>117</v>
      </c>
      <c r="G631" s="27" t="s">
        <v>32</v>
      </c>
      <c r="H631" s="27" t="s">
        <v>44</v>
      </c>
      <c r="I631" s="48"/>
      <c r="J631" s="28"/>
      <c r="K631" s="28"/>
      <c r="L631" s="28"/>
      <c r="M631" s="19"/>
    </row>
    <row r="632">
      <c r="A632" s="66"/>
      <c r="B632" s="22">
        <v>45145.0</v>
      </c>
      <c r="C632" s="23" t="s">
        <v>845</v>
      </c>
      <c r="D632" s="61" t="s">
        <v>21</v>
      </c>
      <c r="E632" s="27" t="s">
        <v>30</v>
      </c>
      <c r="F632" s="27" t="s">
        <v>117</v>
      </c>
      <c r="G632" s="27" t="s">
        <v>32</v>
      </c>
      <c r="H632" s="27" t="s">
        <v>35</v>
      </c>
      <c r="I632" s="48"/>
      <c r="J632" s="28"/>
      <c r="K632" s="28"/>
      <c r="L632" s="28"/>
      <c r="M632" s="19"/>
    </row>
    <row r="633">
      <c r="A633" s="66"/>
      <c r="B633" s="22">
        <v>45147.0</v>
      </c>
      <c r="C633" s="23" t="s">
        <v>846</v>
      </c>
      <c r="D633" s="61" t="s">
        <v>21</v>
      </c>
      <c r="E633" s="27" t="s">
        <v>30</v>
      </c>
      <c r="F633" s="27" t="s">
        <v>117</v>
      </c>
      <c r="G633" s="27" t="s">
        <v>390</v>
      </c>
      <c r="H633" s="27" t="s">
        <v>35</v>
      </c>
      <c r="I633" s="48"/>
      <c r="J633" s="28"/>
      <c r="K633" s="28"/>
      <c r="L633" s="28"/>
      <c r="M633" s="19"/>
    </row>
    <row r="634">
      <c r="A634" s="66"/>
      <c r="B634" s="71">
        <v>45145.0</v>
      </c>
      <c r="C634" s="23" t="s">
        <v>847</v>
      </c>
      <c r="D634" s="61" t="s">
        <v>21</v>
      </c>
      <c r="E634" s="27" t="s">
        <v>334</v>
      </c>
      <c r="F634" s="27" t="s">
        <v>335</v>
      </c>
      <c r="G634" s="27" t="s">
        <v>32</v>
      </c>
      <c r="H634" s="27" t="s">
        <v>44</v>
      </c>
      <c r="I634" s="48"/>
      <c r="J634" s="28"/>
      <c r="K634" s="28"/>
      <c r="L634" s="28"/>
      <c r="M634" s="19"/>
    </row>
    <row r="635">
      <c r="A635" s="66"/>
      <c r="B635" s="71">
        <v>45147.0</v>
      </c>
      <c r="C635" s="23" t="s">
        <v>848</v>
      </c>
      <c r="D635" s="61" t="s">
        <v>21</v>
      </c>
      <c r="E635" s="27" t="s">
        <v>30</v>
      </c>
      <c r="F635" s="27" t="s">
        <v>117</v>
      </c>
      <c r="G635" s="27" t="s">
        <v>32</v>
      </c>
      <c r="H635" s="27" t="s">
        <v>44</v>
      </c>
      <c r="I635" s="48"/>
      <c r="J635" s="28"/>
      <c r="K635" s="28"/>
      <c r="L635" s="28"/>
      <c r="M635" s="19"/>
    </row>
    <row r="636">
      <c r="A636" s="66"/>
      <c r="B636" s="71">
        <v>45147.0</v>
      </c>
      <c r="C636" s="23" t="s">
        <v>849</v>
      </c>
      <c r="D636" s="61" t="s">
        <v>21</v>
      </c>
      <c r="E636" s="27" t="s">
        <v>30</v>
      </c>
      <c r="F636" s="27" t="s">
        <v>117</v>
      </c>
      <c r="G636" s="27" t="s">
        <v>32</v>
      </c>
      <c r="H636" s="27" t="s">
        <v>44</v>
      </c>
      <c r="I636" s="48"/>
      <c r="J636" s="28"/>
      <c r="K636" s="28"/>
      <c r="L636" s="28"/>
      <c r="M636" s="19"/>
    </row>
    <row r="637">
      <c r="A637" s="66"/>
      <c r="B637" s="22">
        <v>45210.0</v>
      </c>
      <c r="C637" s="23" t="s">
        <v>850</v>
      </c>
      <c r="D637" s="61" t="s">
        <v>21</v>
      </c>
      <c r="E637" s="27" t="s">
        <v>334</v>
      </c>
      <c r="F637" s="27" t="s">
        <v>337</v>
      </c>
      <c r="G637" s="27" t="s">
        <v>32</v>
      </c>
      <c r="H637" s="27" t="s">
        <v>44</v>
      </c>
      <c r="I637" s="48"/>
      <c r="J637" s="28"/>
      <c r="K637" s="28"/>
      <c r="L637" s="28"/>
      <c r="M637" s="19"/>
    </row>
    <row r="638">
      <c r="A638" s="66"/>
      <c r="B638" s="71">
        <v>45148.0</v>
      </c>
      <c r="C638" s="23" t="s">
        <v>851</v>
      </c>
      <c r="D638" s="61" t="s">
        <v>21</v>
      </c>
      <c r="E638" s="27" t="s">
        <v>30</v>
      </c>
      <c r="F638" s="27" t="s">
        <v>117</v>
      </c>
      <c r="G638" s="27" t="s">
        <v>32</v>
      </c>
      <c r="H638" s="27" t="s">
        <v>44</v>
      </c>
      <c r="I638" s="48"/>
      <c r="J638" s="28"/>
      <c r="K638" s="28"/>
      <c r="L638" s="28"/>
      <c r="M638" s="19"/>
    </row>
    <row r="639">
      <c r="A639" s="66"/>
      <c r="B639" s="22">
        <v>45204.0</v>
      </c>
      <c r="C639" s="23" t="s">
        <v>852</v>
      </c>
      <c r="D639" s="61" t="s">
        <v>21</v>
      </c>
      <c r="E639" s="27" t="s">
        <v>30</v>
      </c>
      <c r="F639" s="27" t="s">
        <v>31</v>
      </c>
      <c r="G639" s="27" t="s">
        <v>32</v>
      </c>
      <c r="H639" s="27" t="s">
        <v>44</v>
      </c>
      <c r="I639" s="48"/>
      <c r="J639" s="28"/>
      <c r="K639" s="28"/>
      <c r="L639" s="28"/>
      <c r="M639" s="19"/>
    </row>
    <row r="640">
      <c r="A640" s="66"/>
      <c r="B640" s="22">
        <v>45206.0</v>
      </c>
      <c r="C640" s="23" t="s">
        <v>853</v>
      </c>
      <c r="D640" s="61" t="s">
        <v>21</v>
      </c>
      <c r="E640" s="27" t="s">
        <v>30</v>
      </c>
      <c r="F640" s="27" t="s">
        <v>31</v>
      </c>
      <c r="G640" s="27" t="s">
        <v>32</v>
      </c>
      <c r="H640" s="27" t="s">
        <v>44</v>
      </c>
      <c r="I640" s="48"/>
      <c r="J640" s="28"/>
      <c r="K640" s="28"/>
      <c r="L640" s="28"/>
      <c r="M640" s="19"/>
    </row>
    <row r="641">
      <c r="A641" s="66"/>
      <c r="B641" s="71">
        <v>45149.0</v>
      </c>
      <c r="C641" s="23" t="s">
        <v>854</v>
      </c>
      <c r="D641" s="61" t="s">
        <v>21</v>
      </c>
      <c r="E641" s="27" t="s">
        <v>30</v>
      </c>
      <c r="F641" s="27" t="s">
        <v>117</v>
      </c>
      <c r="G641" s="27" t="s">
        <v>32</v>
      </c>
      <c r="H641" s="27" t="s">
        <v>44</v>
      </c>
      <c r="I641" s="48"/>
      <c r="J641" s="28"/>
      <c r="K641" s="28"/>
      <c r="L641" s="28"/>
      <c r="M641" s="19"/>
    </row>
    <row r="642">
      <c r="A642" s="66"/>
      <c r="B642" s="22">
        <v>45211.0</v>
      </c>
      <c r="C642" s="23" t="s">
        <v>855</v>
      </c>
      <c r="D642" s="61" t="s">
        <v>21</v>
      </c>
      <c r="E642" s="27" t="s">
        <v>30</v>
      </c>
      <c r="F642" s="27" t="s">
        <v>31</v>
      </c>
      <c r="G642" s="27" t="s">
        <v>32</v>
      </c>
      <c r="H642" s="27" t="s">
        <v>44</v>
      </c>
      <c r="I642" s="48"/>
      <c r="J642" s="28"/>
      <c r="K642" s="28"/>
      <c r="L642" s="28"/>
      <c r="M642" s="19"/>
    </row>
    <row r="643">
      <c r="A643" s="66"/>
      <c r="B643" s="22">
        <v>45201.0</v>
      </c>
      <c r="C643" s="23" t="s">
        <v>856</v>
      </c>
      <c r="D643" s="61" t="s">
        <v>21</v>
      </c>
      <c r="E643" s="27" t="s">
        <v>30</v>
      </c>
      <c r="F643" s="27" t="s">
        <v>117</v>
      </c>
      <c r="G643" s="27" t="s">
        <v>32</v>
      </c>
      <c r="H643" s="27" t="s">
        <v>44</v>
      </c>
      <c r="I643" s="48"/>
      <c r="J643" s="28"/>
      <c r="K643" s="28"/>
      <c r="L643" s="28"/>
      <c r="M643" s="19"/>
    </row>
    <row r="644">
      <c r="A644" s="66"/>
      <c r="B644" s="71">
        <v>45079.0</v>
      </c>
      <c r="C644" s="23" t="s">
        <v>857</v>
      </c>
      <c r="D644" s="61" t="s">
        <v>21</v>
      </c>
      <c r="E644" s="27" t="s">
        <v>30</v>
      </c>
      <c r="F644" s="27" t="s">
        <v>379</v>
      </c>
      <c r="G644" s="27" t="s">
        <v>32</v>
      </c>
      <c r="H644" s="27" t="s">
        <v>52</v>
      </c>
      <c r="I644" s="48"/>
      <c r="J644" s="28"/>
      <c r="K644" s="28"/>
      <c r="L644" s="28"/>
      <c r="M644" s="19"/>
    </row>
    <row r="645">
      <c r="A645" s="66"/>
      <c r="B645" s="22">
        <v>45233.0</v>
      </c>
      <c r="C645" s="23" t="s">
        <v>858</v>
      </c>
      <c r="D645" s="61" t="s">
        <v>21</v>
      </c>
      <c r="E645" s="27" t="s">
        <v>30</v>
      </c>
      <c r="F645" s="27" t="s">
        <v>31</v>
      </c>
      <c r="G645" s="27" t="s">
        <v>32</v>
      </c>
      <c r="H645" s="27" t="s">
        <v>44</v>
      </c>
      <c r="I645" s="48"/>
      <c r="J645" s="28"/>
      <c r="K645" s="28"/>
      <c r="L645" s="28"/>
      <c r="M645" s="19"/>
    </row>
    <row r="646">
      <c r="A646" s="66"/>
      <c r="B646" s="22">
        <v>45241.0</v>
      </c>
      <c r="C646" s="23" t="s">
        <v>859</v>
      </c>
      <c r="D646" s="61" t="s">
        <v>21</v>
      </c>
      <c r="E646" s="27" t="s">
        <v>30</v>
      </c>
      <c r="F646" s="27" t="s">
        <v>31</v>
      </c>
      <c r="G646" s="27" t="s">
        <v>32</v>
      </c>
      <c r="H646" s="27" t="s">
        <v>44</v>
      </c>
      <c r="I646" s="48"/>
      <c r="J646" s="28"/>
      <c r="K646" s="28"/>
      <c r="L646" s="28"/>
      <c r="M646" s="19"/>
    </row>
    <row r="647">
      <c r="A647" s="66"/>
      <c r="B647" s="22">
        <v>45220.0</v>
      </c>
      <c r="C647" s="23" t="s">
        <v>860</v>
      </c>
      <c r="D647" s="61" t="s">
        <v>21</v>
      </c>
      <c r="E647" s="27" t="s">
        <v>30</v>
      </c>
      <c r="F647" s="27" t="s">
        <v>117</v>
      </c>
      <c r="G647" s="27" t="s">
        <v>32</v>
      </c>
      <c r="H647" s="27" t="s">
        <v>44</v>
      </c>
      <c r="I647" s="48"/>
      <c r="J647" s="28"/>
      <c r="K647" s="28"/>
      <c r="L647" s="28"/>
      <c r="M647" s="19"/>
    </row>
    <row r="648">
      <c r="A648" s="66"/>
      <c r="B648" s="71">
        <v>45161.0</v>
      </c>
      <c r="C648" s="23" t="s">
        <v>861</v>
      </c>
      <c r="D648" s="61" t="s">
        <v>21</v>
      </c>
      <c r="E648" s="27" t="s">
        <v>392</v>
      </c>
      <c r="F648" s="27" t="s">
        <v>31</v>
      </c>
      <c r="G648" s="27" t="s">
        <v>390</v>
      </c>
      <c r="H648" s="27" t="s">
        <v>44</v>
      </c>
      <c r="I648" s="48"/>
      <c r="J648" s="28"/>
      <c r="K648" s="28"/>
      <c r="L648" s="28"/>
      <c r="M648" s="19"/>
    </row>
    <row r="649">
      <c r="A649" s="66"/>
      <c r="B649" s="22">
        <v>45224.0</v>
      </c>
      <c r="C649" s="23" t="s">
        <v>862</v>
      </c>
      <c r="D649" s="61" t="s">
        <v>21</v>
      </c>
      <c r="E649" s="27" t="s">
        <v>30</v>
      </c>
      <c r="F649" s="27" t="s">
        <v>117</v>
      </c>
      <c r="G649" s="27" t="s">
        <v>32</v>
      </c>
      <c r="H649" s="27" t="s">
        <v>44</v>
      </c>
      <c r="I649" s="48"/>
      <c r="J649" s="28"/>
      <c r="K649" s="28"/>
      <c r="L649" s="28"/>
      <c r="M649" s="19"/>
    </row>
    <row r="650">
      <c r="A650" s="66"/>
      <c r="B650" s="22">
        <v>45215.0</v>
      </c>
      <c r="C650" s="23" t="s">
        <v>863</v>
      </c>
      <c r="D650" s="61" t="s">
        <v>21</v>
      </c>
      <c r="E650" s="27" t="s">
        <v>334</v>
      </c>
      <c r="F650" s="27" t="s">
        <v>335</v>
      </c>
      <c r="G650" s="27" t="s">
        <v>32</v>
      </c>
      <c r="H650" s="27" t="s">
        <v>44</v>
      </c>
      <c r="I650" s="48"/>
      <c r="J650" s="28"/>
      <c r="K650" s="28"/>
      <c r="L650" s="28"/>
      <c r="M650" s="19"/>
    </row>
    <row r="651">
      <c r="A651" s="66"/>
      <c r="B651" s="22">
        <v>45164.0</v>
      </c>
      <c r="C651" s="23" t="s">
        <v>864</v>
      </c>
      <c r="D651" s="61" t="s">
        <v>21</v>
      </c>
      <c r="E651" s="27" t="s">
        <v>376</v>
      </c>
      <c r="F651" s="27" t="s">
        <v>379</v>
      </c>
      <c r="G651" s="27" t="s">
        <v>390</v>
      </c>
      <c r="H651" s="27" t="s">
        <v>35</v>
      </c>
      <c r="I651" s="48"/>
      <c r="J651" s="28"/>
      <c r="K651" s="28"/>
      <c r="L651" s="28"/>
      <c r="M651" s="19"/>
    </row>
    <row r="652">
      <c r="A652" s="66"/>
      <c r="B652" s="71">
        <v>45164.0</v>
      </c>
      <c r="C652" s="23" t="s">
        <v>865</v>
      </c>
      <c r="D652" s="61" t="s">
        <v>21</v>
      </c>
      <c r="E652" s="27" t="s">
        <v>30</v>
      </c>
      <c r="F652" s="27" t="s">
        <v>117</v>
      </c>
      <c r="G652" s="27" t="s">
        <v>32</v>
      </c>
      <c r="H652" s="27" t="s">
        <v>44</v>
      </c>
      <c r="I652" s="48"/>
      <c r="J652" s="28"/>
      <c r="K652" s="28"/>
      <c r="L652" s="28"/>
      <c r="M652" s="19"/>
    </row>
    <row r="653">
      <c r="A653" s="66"/>
      <c r="B653" s="71">
        <v>45166.0</v>
      </c>
      <c r="C653" s="23" t="s">
        <v>866</v>
      </c>
      <c r="D653" s="61" t="s">
        <v>21</v>
      </c>
      <c r="E653" s="27" t="s">
        <v>30</v>
      </c>
      <c r="F653" s="27" t="s">
        <v>117</v>
      </c>
      <c r="G653" s="27" t="s">
        <v>32</v>
      </c>
      <c r="H653" s="27" t="s">
        <v>44</v>
      </c>
      <c r="I653" s="48"/>
      <c r="J653" s="28"/>
      <c r="K653" s="28"/>
      <c r="L653" s="28"/>
      <c r="M653" s="19"/>
    </row>
    <row r="654">
      <c r="A654" s="66"/>
      <c r="B654" s="71">
        <v>45166.0</v>
      </c>
      <c r="C654" s="23" t="s">
        <v>867</v>
      </c>
      <c r="D654" s="61" t="s">
        <v>21</v>
      </c>
      <c r="E654" s="27" t="s">
        <v>30</v>
      </c>
      <c r="F654" s="27" t="s">
        <v>117</v>
      </c>
      <c r="G654" s="27" t="s">
        <v>32</v>
      </c>
      <c r="H654" s="27" t="s">
        <v>44</v>
      </c>
      <c r="I654" s="48"/>
      <c r="J654" s="28"/>
      <c r="K654" s="28"/>
      <c r="L654" s="28"/>
      <c r="M654" s="19"/>
    </row>
    <row r="655">
      <c r="A655" s="66"/>
      <c r="B655" s="22">
        <v>45246.0</v>
      </c>
      <c r="C655" s="23" t="s">
        <v>868</v>
      </c>
      <c r="D655" s="61" t="s">
        <v>21</v>
      </c>
      <c r="E655" s="27" t="s">
        <v>30</v>
      </c>
      <c r="F655" s="27" t="s">
        <v>117</v>
      </c>
      <c r="G655" s="27" t="s">
        <v>32</v>
      </c>
      <c r="H655" s="27" t="s">
        <v>44</v>
      </c>
      <c r="I655" s="48"/>
      <c r="J655" s="28"/>
      <c r="K655" s="28"/>
      <c r="L655" s="28"/>
      <c r="M655" s="19"/>
    </row>
    <row r="656">
      <c r="A656" s="66"/>
      <c r="B656" s="71">
        <v>45170.0</v>
      </c>
      <c r="C656" s="23" t="s">
        <v>869</v>
      </c>
      <c r="D656" s="61" t="s">
        <v>21</v>
      </c>
      <c r="E656" s="27" t="s">
        <v>334</v>
      </c>
      <c r="F656" s="27" t="s">
        <v>335</v>
      </c>
      <c r="G656" s="27" t="s">
        <v>32</v>
      </c>
      <c r="H656" s="27" t="s">
        <v>44</v>
      </c>
      <c r="I656" s="48"/>
      <c r="J656" s="28"/>
      <c r="K656" s="28"/>
      <c r="L656" s="28"/>
      <c r="M656" s="19"/>
    </row>
    <row r="657">
      <c r="A657" s="66"/>
      <c r="B657" s="22">
        <v>45247.0</v>
      </c>
      <c r="C657" s="23" t="s">
        <v>870</v>
      </c>
      <c r="D657" s="61" t="s">
        <v>21</v>
      </c>
      <c r="E657" s="27" t="s">
        <v>30</v>
      </c>
      <c r="F657" s="27" t="s">
        <v>117</v>
      </c>
      <c r="G657" s="27" t="s">
        <v>32</v>
      </c>
      <c r="H657" s="27" t="s">
        <v>44</v>
      </c>
      <c r="I657" s="48"/>
      <c r="J657" s="28"/>
      <c r="K657" s="28"/>
      <c r="L657" s="28"/>
      <c r="M657" s="19"/>
    </row>
    <row r="658">
      <c r="A658" s="66"/>
      <c r="B658" s="71">
        <v>45170.0</v>
      </c>
      <c r="C658" s="23" t="s">
        <v>871</v>
      </c>
      <c r="D658" s="61" t="s">
        <v>21</v>
      </c>
      <c r="E658" s="27" t="s">
        <v>359</v>
      </c>
      <c r="F658" s="27" t="s">
        <v>379</v>
      </c>
      <c r="G658" s="27" t="s">
        <v>390</v>
      </c>
      <c r="H658" s="27" t="s">
        <v>35</v>
      </c>
      <c r="I658" s="48"/>
      <c r="J658" s="28"/>
      <c r="K658" s="28"/>
      <c r="L658" s="28"/>
      <c r="M658" s="19"/>
    </row>
    <row r="659">
      <c r="A659" s="66"/>
      <c r="B659" s="22">
        <v>45232.0</v>
      </c>
      <c r="C659" s="23" t="s">
        <v>872</v>
      </c>
      <c r="D659" s="61" t="s">
        <v>21</v>
      </c>
      <c r="E659" s="27" t="s">
        <v>30</v>
      </c>
      <c r="F659" s="27" t="s">
        <v>117</v>
      </c>
      <c r="G659" s="27" t="s">
        <v>32</v>
      </c>
      <c r="H659" s="27" t="s">
        <v>44</v>
      </c>
      <c r="I659" s="48"/>
      <c r="J659" s="28"/>
      <c r="K659" s="28"/>
      <c r="L659" s="28"/>
      <c r="M659" s="19"/>
    </row>
    <row r="660">
      <c r="A660" s="66"/>
      <c r="B660" s="71">
        <v>45171.0</v>
      </c>
      <c r="C660" s="23" t="s">
        <v>873</v>
      </c>
      <c r="D660" s="61" t="s">
        <v>21</v>
      </c>
      <c r="E660" s="27" t="s">
        <v>359</v>
      </c>
      <c r="F660" s="27" t="s">
        <v>31</v>
      </c>
      <c r="G660" s="27" t="s">
        <v>32</v>
      </c>
      <c r="H660" s="27" t="s">
        <v>44</v>
      </c>
      <c r="I660" s="48"/>
      <c r="J660" s="28"/>
      <c r="K660" s="28"/>
      <c r="L660" s="28"/>
      <c r="M660" s="19"/>
    </row>
    <row r="661">
      <c r="A661" s="66"/>
      <c r="B661" s="22">
        <v>45220.0</v>
      </c>
      <c r="C661" s="23" t="s">
        <v>874</v>
      </c>
      <c r="D661" s="61" t="s">
        <v>21</v>
      </c>
      <c r="E661" s="27" t="s">
        <v>376</v>
      </c>
      <c r="F661" s="27" t="s">
        <v>31</v>
      </c>
      <c r="G661" s="27" t="s">
        <v>32</v>
      </c>
      <c r="H661" s="27" t="s">
        <v>44</v>
      </c>
      <c r="I661" s="48"/>
      <c r="J661" s="28"/>
      <c r="K661" s="28"/>
      <c r="L661" s="28"/>
      <c r="M661" s="19"/>
    </row>
    <row r="662">
      <c r="A662" s="66"/>
      <c r="B662" s="22">
        <v>45204.0</v>
      </c>
      <c r="C662" s="23" t="s">
        <v>875</v>
      </c>
      <c r="D662" s="61" t="s">
        <v>21</v>
      </c>
      <c r="E662" s="27" t="s">
        <v>334</v>
      </c>
      <c r="F662" s="27" t="s">
        <v>335</v>
      </c>
      <c r="G662" s="27" t="s">
        <v>32</v>
      </c>
      <c r="H662" s="27" t="s">
        <v>44</v>
      </c>
      <c r="I662" s="48"/>
      <c r="J662" s="28"/>
      <c r="K662" s="28"/>
      <c r="L662" s="28"/>
      <c r="M662" s="19"/>
    </row>
    <row r="663">
      <c r="A663" s="66"/>
      <c r="B663" s="71">
        <v>45172.0</v>
      </c>
      <c r="C663" s="23" t="s">
        <v>876</v>
      </c>
      <c r="D663" s="61" t="s">
        <v>21</v>
      </c>
      <c r="E663" s="27" t="s">
        <v>334</v>
      </c>
      <c r="F663" s="27" t="s">
        <v>335</v>
      </c>
      <c r="G663" s="27" t="s">
        <v>32</v>
      </c>
      <c r="H663" s="27" t="s">
        <v>44</v>
      </c>
      <c r="I663" s="48"/>
      <c r="J663" s="28"/>
      <c r="K663" s="28"/>
      <c r="L663" s="28"/>
      <c r="M663" s="19"/>
    </row>
    <row r="664">
      <c r="A664" s="66"/>
      <c r="B664" s="71">
        <v>45178.0</v>
      </c>
      <c r="C664" s="23" t="s">
        <v>877</v>
      </c>
      <c r="D664" s="61" t="s">
        <v>21</v>
      </c>
      <c r="E664" s="27" t="s">
        <v>30</v>
      </c>
      <c r="F664" s="27" t="s">
        <v>117</v>
      </c>
      <c r="G664" s="27" t="s">
        <v>32</v>
      </c>
      <c r="H664" s="27" t="s">
        <v>44</v>
      </c>
      <c r="I664" s="48"/>
      <c r="J664" s="28"/>
      <c r="K664" s="28"/>
      <c r="L664" s="28"/>
      <c r="M664" s="19"/>
    </row>
    <row r="665">
      <c r="A665" s="66"/>
      <c r="B665" s="22">
        <v>45205.0</v>
      </c>
      <c r="C665" s="23" t="s">
        <v>878</v>
      </c>
      <c r="D665" s="61" t="s">
        <v>21</v>
      </c>
      <c r="E665" s="27" t="s">
        <v>30</v>
      </c>
      <c r="F665" s="27" t="s">
        <v>31</v>
      </c>
      <c r="G665" s="27" t="s">
        <v>32</v>
      </c>
      <c r="H665" s="27" t="s">
        <v>44</v>
      </c>
      <c r="I665" s="48"/>
      <c r="J665" s="28"/>
      <c r="K665" s="28"/>
      <c r="L665" s="28"/>
      <c r="M665" s="19"/>
    </row>
    <row r="666">
      <c r="A666" s="66"/>
      <c r="B666" s="71">
        <v>45179.0</v>
      </c>
      <c r="C666" s="23" t="s">
        <v>879</v>
      </c>
      <c r="D666" s="61" t="s">
        <v>21</v>
      </c>
      <c r="E666" s="27" t="s">
        <v>30</v>
      </c>
      <c r="F666" s="27" t="s">
        <v>117</v>
      </c>
      <c r="G666" s="27" t="s">
        <v>32</v>
      </c>
      <c r="H666" s="27" t="s">
        <v>44</v>
      </c>
      <c r="I666" s="48"/>
      <c r="J666" s="28"/>
      <c r="K666" s="28"/>
      <c r="L666" s="28"/>
      <c r="M666" s="19"/>
    </row>
    <row r="667">
      <c r="A667" s="66"/>
      <c r="B667" s="30">
        <v>45233.0</v>
      </c>
      <c r="C667" s="23" t="s">
        <v>880</v>
      </c>
      <c r="D667" s="61" t="s">
        <v>21</v>
      </c>
      <c r="E667" s="27" t="s">
        <v>30</v>
      </c>
      <c r="F667" s="27" t="s">
        <v>31</v>
      </c>
      <c r="G667" s="27" t="s">
        <v>32</v>
      </c>
      <c r="H667" s="27" t="s">
        <v>44</v>
      </c>
      <c r="I667" s="48"/>
      <c r="J667" s="28"/>
      <c r="K667" s="28"/>
      <c r="L667" s="28"/>
      <c r="M667" s="19"/>
    </row>
    <row r="668">
      <c r="A668" s="66"/>
      <c r="B668" s="71">
        <v>45183.0</v>
      </c>
      <c r="C668" s="23" t="s">
        <v>881</v>
      </c>
      <c r="D668" s="61" t="s">
        <v>21</v>
      </c>
      <c r="E668" s="27" t="s">
        <v>30</v>
      </c>
      <c r="F668" s="27" t="s">
        <v>117</v>
      </c>
      <c r="G668" s="27" t="s">
        <v>32</v>
      </c>
      <c r="H668" s="27" t="s">
        <v>44</v>
      </c>
      <c r="I668" s="48"/>
      <c r="J668" s="28"/>
      <c r="K668" s="28"/>
      <c r="L668" s="28"/>
      <c r="M668" s="19"/>
    </row>
    <row r="669">
      <c r="A669" s="66"/>
      <c r="B669" s="71">
        <v>45187.0</v>
      </c>
      <c r="C669" s="23" t="s">
        <v>882</v>
      </c>
      <c r="D669" s="61" t="s">
        <v>21</v>
      </c>
      <c r="E669" s="27" t="s">
        <v>334</v>
      </c>
      <c r="F669" s="27" t="s">
        <v>335</v>
      </c>
      <c r="G669" s="27" t="s">
        <v>32</v>
      </c>
      <c r="H669" s="27" t="s">
        <v>44</v>
      </c>
      <c r="I669" s="48"/>
      <c r="J669" s="28"/>
      <c r="K669" s="28"/>
      <c r="L669" s="28"/>
      <c r="M669" s="19"/>
    </row>
    <row r="670">
      <c r="A670" s="66"/>
      <c r="B670" s="71">
        <v>45187.0</v>
      </c>
      <c r="C670" s="23" t="s">
        <v>883</v>
      </c>
      <c r="D670" s="61" t="s">
        <v>21</v>
      </c>
      <c r="E670" s="27" t="s">
        <v>334</v>
      </c>
      <c r="F670" s="27" t="s">
        <v>335</v>
      </c>
      <c r="G670" s="27" t="s">
        <v>32</v>
      </c>
      <c r="H670" s="27" t="s">
        <v>44</v>
      </c>
      <c r="I670" s="48"/>
      <c r="J670" s="28"/>
      <c r="K670" s="28"/>
      <c r="L670" s="28"/>
      <c r="M670" s="19"/>
    </row>
    <row r="671">
      <c r="A671" s="66"/>
      <c r="B671" s="22">
        <v>45224.0</v>
      </c>
      <c r="C671" s="23" t="s">
        <v>884</v>
      </c>
      <c r="D671" s="61" t="s">
        <v>21</v>
      </c>
      <c r="E671" s="27" t="s">
        <v>30</v>
      </c>
      <c r="F671" s="27" t="s">
        <v>31</v>
      </c>
      <c r="G671" s="27" t="s">
        <v>32</v>
      </c>
      <c r="H671" s="27" t="s">
        <v>44</v>
      </c>
      <c r="I671" s="48"/>
      <c r="J671" s="28"/>
      <c r="K671" s="28"/>
      <c r="L671" s="28"/>
      <c r="M671" s="19"/>
    </row>
    <row r="672">
      <c r="A672" s="66"/>
      <c r="B672" s="22">
        <v>45204.0</v>
      </c>
      <c r="C672" s="23" t="s">
        <v>885</v>
      </c>
      <c r="D672" s="61" t="s">
        <v>21</v>
      </c>
      <c r="E672" s="27" t="s">
        <v>359</v>
      </c>
      <c r="F672" s="27" t="s">
        <v>379</v>
      </c>
      <c r="G672" s="27" t="s">
        <v>390</v>
      </c>
      <c r="H672" s="27" t="s">
        <v>44</v>
      </c>
      <c r="I672" s="48"/>
      <c r="J672" s="28"/>
      <c r="K672" s="28"/>
      <c r="L672" s="28"/>
      <c r="M672" s="19"/>
    </row>
    <row r="673">
      <c r="A673" s="66"/>
      <c r="B673" s="71">
        <v>45189.0</v>
      </c>
      <c r="C673" s="23" t="s">
        <v>886</v>
      </c>
      <c r="D673" s="61" t="s">
        <v>21</v>
      </c>
      <c r="E673" s="27" t="s">
        <v>334</v>
      </c>
      <c r="F673" s="27" t="s">
        <v>337</v>
      </c>
      <c r="G673" s="27" t="s">
        <v>32</v>
      </c>
      <c r="H673" s="27" t="s">
        <v>44</v>
      </c>
      <c r="I673" s="48"/>
      <c r="J673" s="28"/>
      <c r="K673" s="28"/>
      <c r="L673" s="28"/>
      <c r="M673" s="19"/>
    </row>
    <row r="674">
      <c r="A674" s="66"/>
      <c r="B674" s="22">
        <v>45231.0</v>
      </c>
      <c r="C674" s="23" t="s">
        <v>887</v>
      </c>
      <c r="D674" s="61" t="s">
        <v>21</v>
      </c>
      <c r="E674" s="27" t="s">
        <v>30</v>
      </c>
      <c r="F674" s="27" t="s">
        <v>117</v>
      </c>
      <c r="G674" s="27" t="s">
        <v>32</v>
      </c>
      <c r="H674" s="27" t="s">
        <v>44</v>
      </c>
      <c r="I674" s="48"/>
      <c r="J674" s="28"/>
      <c r="K674" s="28"/>
      <c r="L674" s="28"/>
      <c r="M674" s="19"/>
    </row>
    <row r="675">
      <c r="A675" s="66"/>
      <c r="B675" s="22">
        <v>45194.0</v>
      </c>
      <c r="C675" s="23" t="s">
        <v>888</v>
      </c>
      <c r="D675" s="61" t="s">
        <v>21</v>
      </c>
      <c r="E675" s="27" t="s">
        <v>334</v>
      </c>
      <c r="F675" s="27" t="s">
        <v>337</v>
      </c>
      <c r="G675" s="27" t="s">
        <v>359</v>
      </c>
      <c r="H675" s="27" t="s">
        <v>35</v>
      </c>
      <c r="I675" s="48"/>
      <c r="J675" s="28"/>
      <c r="K675" s="28"/>
      <c r="L675" s="28"/>
      <c r="M675" s="19"/>
    </row>
    <row r="676">
      <c r="A676" s="66"/>
      <c r="B676" s="22">
        <v>45197.0</v>
      </c>
      <c r="C676" s="23" t="s">
        <v>889</v>
      </c>
      <c r="D676" s="61" t="s">
        <v>21</v>
      </c>
      <c r="E676" s="27" t="s">
        <v>334</v>
      </c>
      <c r="F676" s="27" t="s">
        <v>337</v>
      </c>
      <c r="G676" s="27" t="s">
        <v>32</v>
      </c>
      <c r="H676" s="27" t="s">
        <v>44</v>
      </c>
      <c r="I676" s="48"/>
      <c r="J676" s="28"/>
      <c r="K676" s="28"/>
      <c r="L676" s="28"/>
      <c r="M676" s="19"/>
    </row>
    <row r="677">
      <c r="A677" s="66"/>
      <c r="B677" s="71">
        <v>45199.0</v>
      </c>
      <c r="C677" s="23" t="s">
        <v>890</v>
      </c>
      <c r="D677" s="61" t="s">
        <v>21</v>
      </c>
      <c r="E677" s="27" t="s">
        <v>30</v>
      </c>
      <c r="F677" s="27" t="s">
        <v>31</v>
      </c>
      <c r="G677" s="27" t="s">
        <v>32</v>
      </c>
      <c r="H677" s="27" t="s">
        <v>44</v>
      </c>
      <c r="I677" s="48"/>
      <c r="J677" s="28"/>
      <c r="K677" s="28"/>
      <c r="L677" s="28"/>
      <c r="M677" s="19"/>
    </row>
    <row r="678">
      <c r="A678" s="66"/>
      <c r="B678" s="71">
        <v>45203.0</v>
      </c>
      <c r="C678" s="23" t="s">
        <v>891</v>
      </c>
      <c r="D678" s="61" t="s">
        <v>21</v>
      </c>
      <c r="E678" s="27" t="s">
        <v>30</v>
      </c>
      <c r="F678" s="27" t="s">
        <v>31</v>
      </c>
      <c r="G678" s="27" t="s">
        <v>32</v>
      </c>
      <c r="H678" s="27" t="s">
        <v>44</v>
      </c>
      <c r="I678" s="48"/>
      <c r="J678" s="28"/>
      <c r="K678" s="28"/>
      <c r="L678" s="28"/>
      <c r="M678" s="19"/>
    </row>
    <row r="679">
      <c r="A679" s="66"/>
      <c r="B679" s="71">
        <v>45204.0</v>
      </c>
      <c r="C679" s="23" t="s">
        <v>892</v>
      </c>
      <c r="D679" s="61" t="s">
        <v>21</v>
      </c>
      <c r="E679" s="27" t="s">
        <v>392</v>
      </c>
      <c r="F679" s="27" t="s">
        <v>31</v>
      </c>
      <c r="G679" s="27" t="s">
        <v>390</v>
      </c>
      <c r="H679" s="27" t="s">
        <v>44</v>
      </c>
      <c r="I679" s="48"/>
      <c r="J679" s="28"/>
      <c r="K679" s="28"/>
      <c r="L679" s="28"/>
      <c r="M679" s="19"/>
    </row>
    <row r="680">
      <c r="A680" s="66"/>
      <c r="B680" s="22">
        <v>45238.0</v>
      </c>
      <c r="C680" s="23" t="s">
        <v>893</v>
      </c>
      <c r="D680" s="61" t="s">
        <v>21</v>
      </c>
      <c r="E680" s="27" t="s">
        <v>359</v>
      </c>
      <c r="F680" s="27" t="s">
        <v>31</v>
      </c>
      <c r="G680" s="27" t="s">
        <v>32</v>
      </c>
      <c r="H680" s="27" t="s">
        <v>44</v>
      </c>
      <c r="I680" s="48"/>
      <c r="J680" s="28"/>
      <c r="K680" s="28"/>
      <c r="L680" s="28"/>
      <c r="M680" s="19"/>
    </row>
    <row r="681">
      <c r="A681" s="66"/>
      <c r="B681" s="71">
        <v>45201.0</v>
      </c>
      <c r="C681" s="23" t="s">
        <v>894</v>
      </c>
      <c r="D681" s="61" t="s">
        <v>21</v>
      </c>
      <c r="E681" s="27" t="s">
        <v>334</v>
      </c>
      <c r="F681" s="27" t="s">
        <v>335</v>
      </c>
      <c r="G681" s="27" t="s">
        <v>32</v>
      </c>
      <c r="H681" s="27" t="s">
        <v>44</v>
      </c>
      <c r="I681" s="48"/>
      <c r="J681" s="28"/>
      <c r="K681" s="28"/>
      <c r="L681" s="28"/>
      <c r="M681" s="19"/>
    </row>
    <row r="682">
      <c r="A682" s="66"/>
      <c r="B682" s="71">
        <v>45208.0</v>
      </c>
      <c r="C682" s="23" t="s">
        <v>895</v>
      </c>
      <c r="D682" s="61" t="s">
        <v>21</v>
      </c>
      <c r="E682" s="27" t="s">
        <v>334</v>
      </c>
      <c r="F682" s="27" t="s">
        <v>337</v>
      </c>
      <c r="G682" s="27" t="s">
        <v>32</v>
      </c>
      <c r="H682" s="27" t="s">
        <v>44</v>
      </c>
      <c r="I682" s="48"/>
      <c r="J682" s="28"/>
      <c r="K682" s="28"/>
      <c r="L682" s="28"/>
      <c r="M682" s="19"/>
    </row>
    <row r="683">
      <c r="A683" s="66"/>
      <c r="B683" s="71">
        <v>45210.0</v>
      </c>
      <c r="C683" s="23" t="s">
        <v>896</v>
      </c>
      <c r="D683" s="61" t="s">
        <v>21</v>
      </c>
      <c r="E683" s="27" t="s">
        <v>30</v>
      </c>
      <c r="F683" s="27" t="s">
        <v>117</v>
      </c>
      <c r="G683" s="27" t="s">
        <v>32</v>
      </c>
      <c r="H683" s="27" t="s">
        <v>35</v>
      </c>
      <c r="I683" s="48"/>
      <c r="J683" s="28"/>
      <c r="K683" s="28"/>
      <c r="L683" s="28"/>
      <c r="M683" s="19"/>
    </row>
    <row r="684">
      <c r="A684" s="66"/>
      <c r="B684" s="71">
        <v>45212.0</v>
      </c>
      <c r="C684" s="23" t="s">
        <v>897</v>
      </c>
      <c r="D684" s="61" t="s">
        <v>21</v>
      </c>
      <c r="E684" s="27" t="s">
        <v>30</v>
      </c>
      <c r="F684" s="27" t="s">
        <v>117</v>
      </c>
      <c r="G684" s="27" t="s">
        <v>32</v>
      </c>
      <c r="H684" s="27" t="s">
        <v>44</v>
      </c>
      <c r="I684" s="48"/>
      <c r="J684" s="28"/>
      <c r="K684" s="28"/>
      <c r="L684" s="28"/>
      <c r="M684" s="19"/>
    </row>
    <row r="685">
      <c r="A685" s="66"/>
      <c r="B685" s="22">
        <v>45243.0</v>
      </c>
      <c r="C685" s="23" t="s">
        <v>898</v>
      </c>
      <c r="D685" s="61" t="s">
        <v>21</v>
      </c>
      <c r="E685" s="27" t="s">
        <v>30</v>
      </c>
      <c r="F685" s="27" t="s">
        <v>117</v>
      </c>
      <c r="G685" s="27" t="s">
        <v>32</v>
      </c>
      <c r="H685" s="27" t="s">
        <v>44</v>
      </c>
      <c r="I685" s="48"/>
      <c r="J685" s="28"/>
      <c r="K685" s="28"/>
      <c r="L685" s="28"/>
      <c r="M685" s="19"/>
    </row>
    <row r="686">
      <c r="A686" s="66"/>
      <c r="B686" s="22">
        <v>45220.0</v>
      </c>
      <c r="C686" s="23" t="s">
        <v>899</v>
      </c>
      <c r="D686" s="61" t="s">
        <v>21</v>
      </c>
      <c r="E686" s="27" t="s">
        <v>30</v>
      </c>
      <c r="F686" s="27" t="s">
        <v>117</v>
      </c>
      <c r="G686" s="27" t="s">
        <v>32</v>
      </c>
      <c r="H686" s="27" t="s">
        <v>44</v>
      </c>
      <c r="I686" s="48"/>
      <c r="J686" s="28"/>
      <c r="K686" s="28"/>
      <c r="L686" s="28"/>
      <c r="M686" s="19"/>
    </row>
    <row r="687">
      <c r="A687" s="66"/>
      <c r="B687" s="22">
        <v>45223.0</v>
      </c>
      <c r="C687" s="23" t="s">
        <v>900</v>
      </c>
      <c r="D687" s="61" t="s">
        <v>21</v>
      </c>
      <c r="E687" s="27" t="s">
        <v>334</v>
      </c>
      <c r="F687" s="27" t="s">
        <v>337</v>
      </c>
      <c r="G687" s="27" t="s">
        <v>191</v>
      </c>
      <c r="H687" s="27" t="s">
        <v>44</v>
      </c>
      <c r="I687" s="48"/>
      <c r="J687" s="28"/>
      <c r="K687" s="28"/>
      <c r="L687" s="28"/>
      <c r="M687" s="19"/>
    </row>
    <row r="688">
      <c r="A688" s="66"/>
      <c r="B688" s="71">
        <v>45224.0</v>
      </c>
      <c r="C688" s="23" t="s">
        <v>901</v>
      </c>
      <c r="D688" s="61" t="s">
        <v>21</v>
      </c>
      <c r="E688" s="27" t="s">
        <v>30</v>
      </c>
      <c r="F688" s="27" t="s">
        <v>31</v>
      </c>
      <c r="G688" s="27" t="s">
        <v>32</v>
      </c>
      <c r="H688" s="27" t="s">
        <v>44</v>
      </c>
      <c r="I688" s="48"/>
      <c r="J688" s="28"/>
      <c r="K688" s="28"/>
      <c r="L688" s="28"/>
      <c r="M688" s="19"/>
    </row>
    <row r="689">
      <c r="A689" s="66"/>
      <c r="B689" s="71">
        <v>45224.0</v>
      </c>
      <c r="C689" s="23" t="s">
        <v>902</v>
      </c>
      <c r="D689" s="61" t="s">
        <v>21</v>
      </c>
      <c r="E689" s="27" t="s">
        <v>30</v>
      </c>
      <c r="F689" s="27" t="s">
        <v>117</v>
      </c>
      <c r="G689" s="27" t="s">
        <v>32</v>
      </c>
      <c r="H689" s="27" t="s">
        <v>35</v>
      </c>
      <c r="I689" s="48"/>
      <c r="J689" s="28"/>
      <c r="K689" s="28"/>
      <c r="L689" s="28"/>
      <c r="M689" s="19"/>
    </row>
    <row r="690">
      <c r="A690" s="66"/>
      <c r="B690" s="71">
        <v>45224.0</v>
      </c>
      <c r="C690" s="23" t="s">
        <v>903</v>
      </c>
      <c r="D690" s="61" t="s">
        <v>21</v>
      </c>
      <c r="E690" s="27" t="s">
        <v>334</v>
      </c>
      <c r="F690" s="27" t="s">
        <v>337</v>
      </c>
      <c r="G690" s="27" t="s">
        <v>32</v>
      </c>
      <c r="H690" s="27" t="s">
        <v>44</v>
      </c>
      <c r="I690" s="48"/>
      <c r="J690" s="28"/>
      <c r="K690" s="28"/>
      <c r="L690" s="28"/>
      <c r="M690" s="19"/>
    </row>
    <row r="691">
      <c r="A691" s="66"/>
      <c r="B691" s="71">
        <v>45228.0</v>
      </c>
      <c r="C691" s="23" t="s">
        <v>904</v>
      </c>
      <c r="D691" s="61" t="s">
        <v>21</v>
      </c>
      <c r="E691" s="27" t="s">
        <v>376</v>
      </c>
      <c r="F691" s="27" t="s">
        <v>31</v>
      </c>
      <c r="G691" s="27" t="s">
        <v>390</v>
      </c>
      <c r="H691" s="27" t="s">
        <v>44</v>
      </c>
      <c r="I691" s="48"/>
      <c r="J691" s="28"/>
      <c r="K691" s="28"/>
      <c r="L691" s="28"/>
      <c r="M691" s="19"/>
    </row>
    <row r="692">
      <c r="A692" s="66"/>
      <c r="B692" s="22">
        <v>45223.0</v>
      </c>
      <c r="C692" s="23" t="s">
        <v>905</v>
      </c>
      <c r="D692" s="61" t="s">
        <v>21</v>
      </c>
      <c r="E692" s="27" t="s">
        <v>376</v>
      </c>
      <c r="F692" s="27" t="s">
        <v>424</v>
      </c>
      <c r="G692" s="27" t="s">
        <v>390</v>
      </c>
      <c r="H692" s="27" t="s">
        <v>44</v>
      </c>
      <c r="I692" s="48"/>
      <c r="J692" s="28"/>
      <c r="K692" s="28"/>
      <c r="L692" s="28"/>
      <c r="M692" s="19"/>
    </row>
    <row r="693">
      <c r="A693" s="66"/>
      <c r="B693" s="71">
        <v>45229.0</v>
      </c>
      <c r="C693" s="23" t="s">
        <v>906</v>
      </c>
      <c r="D693" s="61" t="s">
        <v>21</v>
      </c>
      <c r="E693" s="27" t="s">
        <v>30</v>
      </c>
      <c r="F693" s="27" t="s">
        <v>31</v>
      </c>
      <c r="G693" s="27" t="s">
        <v>32</v>
      </c>
      <c r="H693" s="27" t="s">
        <v>44</v>
      </c>
      <c r="I693" s="48"/>
      <c r="J693" s="28"/>
      <c r="K693" s="28"/>
      <c r="L693" s="28"/>
      <c r="M693" s="19"/>
    </row>
    <row r="694">
      <c r="A694" s="66"/>
      <c r="B694" s="71">
        <v>45230.0</v>
      </c>
      <c r="C694" s="23" t="s">
        <v>907</v>
      </c>
      <c r="D694" s="61" t="s">
        <v>21</v>
      </c>
      <c r="E694" s="27" t="s">
        <v>334</v>
      </c>
      <c r="F694" s="27" t="s">
        <v>337</v>
      </c>
      <c r="G694" s="27" t="s">
        <v>32</v>
      </c>
      <c r="H694" s="27" t="s">
        <v>44</v>
      </c>
      <c r="I694" s="48"/>
      <c r="J694" s="28"/>
      <c r="K694" s="28"/>
      <c r="L694" s="28"/>
      <c r="M694" s="19"/>
    </row>
    <row r="695">
      <c r="A695" s="66"/>
      <c r="B695" s="71">
        <v>45232.0</v>
      </c>
      <c r="C695" s="23" t="s">
        <v>908</v>
      </c>
      <c r="D695" s="61" t="s">
        <v>21</v>
      </c>
      <c r="E695" s="27" t="s">
        <v>30</v>
      </c>
      <c r="F695" s="27" t="s">
        <v>31</v>
      </c>
      <c r="G695" s="27" t="s">
        <v>32</v>
      </c>
      <c r="H695" s="27" t="s">
        <v>44</v>
      </c>
      <c r="I695" s="48"/>
      <c r="J695" s="28"/>
      <c r="K695" s="28"/>
      <c r="L695" s="28"/>
      <c r="M695" s="19"/>
    </row>
    <row r="696">
      <c r="A696" s="66"/>
      <c r="B696" s="71">
        <v>45239.0</v>
      </c>
      <c r="C696" s="23" t="s">
        <v>909</v>
      </c>
      <c r="D696" s="61" t="s">
        <v>21</v>
      </c>
      <c r="E696" s="27" t="s">
        <v>30</v>
      </c>
      <c r="F696" s="27" t="s">
        <v>31</v>
      </c>
      <c r="G696" s="27" t="s">
        <v>32</v>
      </c>
      <c r="H696" s="27" t="s">
        <v>44</v>
      </c>
      <c r="I696" s="48"/>
      <c r="J696" s="28"/>
      <c r="K696" s="28"/>
      <c r="L696" s="28"/>
      <c r="M696" s="19"/>
    </row>
    <row r="697">
      <c r="A697" s="66"/>
      <c r="B697" s="22">
        <v>45239.0</v>
      </c>
      <c r="C697" s="23" t="s">
        <v>910</v>
      </c>
      <c r="D697" s="61" t="s">
        <v>21</v>
      </c>
      <c r="E697" s="27" t="s">
        <v>376</v>
      </c>
      <c r="F697" s="27" t="s">
        <v>379</v>
      </c>
      <c r="G697" s="27" t="s">
        <v>390</v>
      </c>
      <c r="H697" s="27" t="s">
        <v>44</v>
      </c>
      <c r="I697" s="48"/>
      <c r="J697" s="28"/>
      <c r="K697" s="28"/>
      <c r="L697" s="28"/>
      <c r="M697" s="19"/>
    </row>
    <row r="698">
      <c r="A698" s="66"/>
      <c r="B698" s="22">
        <v>45240.0</v>
      </c>
      <c r="C698" s="23" t="s">
        <v>911</v>
      </c>
      <c r="D698" s="61" t="s">
        <v>21</v>
      </c>
      <c r="E698" s="27" t="s">
        <v>30</v>
      </c>
      <c r="F698" s="27" t="s">
        <v>117</v>
      </c>
      <c r="G698" s="27" t="s">
        <v>32</v>
      </c>
      <c r="H698" s="27" t="s">
        <v>44</v>
      </c>
      <c r="I698" s="48"/>
      <c r="J698" s="28"/>
      <c r="K698" s="28"/>
      <c r="L698" s="28"/>
      <c r="M698" s="19"/>
    </row>
    <row r="699">
      <c r="A699" s="66"/>
      <c r="B699" s="71">
        <v>45243.0</v>
      </c>
      <c r="C699" s="23" t="s">
        <v>912</v>
      </c>
      <c r="D699" s="61" t="s">
        <v>21</v>
      </c>
      <c r="E699" s="27" t="s">
        <v>30</v>
      </c>
      <c r="F699" s="27" t="s">
        <v>117</v>
      </c>
      <c r="G699" s="27" t="s">
        <v>32</v>
      </c>
      <c r="H699" s="27" t="s">
        <v>44</v>
      </c>
      <c r="I699" s="48"/>
      <c r="J699" s="28"/>
      <c r="K699" s="28"/>
      <c r="L699" s="28"/>
      <c r="M699" s="19"/>
    </row>
    <row r="700">
      <c r="A700" s="66"/>
      <c r="B700" s="71">
        <v>45243.0</v>
      </c>
      <c r="C700" s="23" t="s">
        <v>913</v>
      </c>
      <c r="D700" s="61" t="s">
        <v>21</v>
      </c>
      <c r="E700" s="27" t="s">
        <v>30</v>
      </c>
      <c r="F700" s="27" t="s">
        <v>117</v>
      </c>
      <c r="G700" s="27" t="s">
        <v>32</v>
      </c>
      <c r="H700" s="27" t="s">
        <v>44</v>
      </c>
      <c r="I700" s="48"/>
      <c r="J700" s="28"/>
      <c r="K700" s="28"/>
      <c r="L700" s="28"/>
      <c r="M700" s="19"/>
    </row>
    <row r="701">
      <c r="A701" s="66"/>
      <c r="B701" s="71">
        <v>45231.0</v>
      </c>
      <c r="C701" s="23" t="s">
        <v>914</v>
      </c>
      <c r="D701" s="61" t="s">
        <v>21</v>
      </c>
      <c r="E701" s="27" t="s">
        <v>392</v>
      </c>
      <c r="F701" s="27" t="s">
        <v>379</v>
      </c>
      <c r="G701" s="27" t="s">
        <v>390</v>
      </c>
      <c r="H701" s="27" t="s">
        <v>35</v>
      </c>
      <c r="I701" s="48"/>
      <c r="J701" s="28"/>
      <c r="K701" s="28"/>
      <c r="L701" s="28"/>
      <c r="M701" s="19"/>
    </row>
    <row r="702">
      <c r="A702" s="66"/>
      <c r="B702" s="22">
        <v>45235.0</v>
      </c>
      <c r="C702" s="23" t="s">
        <v>915</v>
      </c>
      <c r="D702" s="61" t="s">
        <v>21</v>
      </c>
      <c r="E702" s="27" t="s">
        <v>376</v>
      </c>
      <c r="F702" s="27" t="s">
        <v>424</v>
      </c>
      <c r="G702" s="27" t="s">
        <v>390</v>
      </c>
      <c r="H702" s="27" t="s">
        <v>35</v>
      </c>
      <c r="I702" s="48"/>
      <c r="J702" s="28"/>
      <c r="K702" s="28"/>
      <c r="L702" s="28"/>
      <c r="M702" s="19"/>
    </row>
    <row r="703">
      <c r="A703" s="66"/>
      <c r="B703" s="75"/>
      <c r="C703" s="48"/>
      <c r="D703" s="76"/>
      <c r="E703" s="66"/>
      <c r="F703" s="66"/>
      <c r="G703" s="66"/>
      <c r="H703" s="66"/>
      <c r="I703" s="48"/>
      <c r="J703" s="28"/>
      <c r="K703" s="28"/>
      <c r="L703" s="28"/>
      <c r="M703" s="19"/>
    </row>
    <row r="704">
      <c r="A704" s="66"/>
      <c r="B704" s="75"/>
      <c r="C704" s="48"/>
      <c r="D704" s="76"/>
      <c r="E704" s="66"/>
      <c r="F704" s="66"/>
      <c r="G704" s="66"/>
      <c r="H704" s="66"/>
      <c r="I704" s="48"/>
      <c r="J704" s="28"/>
      <c r="K704" s="28"/>
      <c r="L704" s="28"/>
      <c r="M704" s="19"/>
    </row>
  </sheetData>
  <customSheetViews>
    <customSheetView guid="{2078C935-3997-4E90-A7F0-FBC6228C0DAF}" filter="1" showAutoFilter="1">
      <autoFilter ref="$B$1:$J$702"/>
    </customSheetView>
  </customSheetViews>
  <conditionalFormatting sqref="H1:H368 H370:H704">
    <cfRule type="containsText" dxfId="1" priority="1" operator="containsText" text="Abandoned">
      <formula>NOT(ISERROR(SEARCH(("Abandoned"),(H1))))</formula>
    </cfRule>
  </conditionalFormatting>
  <conditionalFormatting sqref="H1:H368 H370:H704">
    <cfRule type="containsText" dxfId="2" priority="2" operator="containsText" text="Completed">
      <formula>NOT(ISERROR(SEARCH(("Completed"),(H1))))</formula>
    </cfRule>
  </conditionalFormatting>
  <conditionalFormatting sqref="H1:H368 H370:H704">
    <cfRule type="containsText" dxfId="3" priority="3" operator="containsText" text="Onhold">
      <formula>NOT(ISERROR(SEARCH(("Onhold"),(H1))))</formula>
    </cfRule>
  </conditionalFormatting>
  <conditionalFormatting sqref="H1:H368 H370:H704">
    <cfRule type="containsText" dxfId="4" priority="4" operator="containsText" text="Ongoing">
      <formula>NOT(ISERROR(SEARCH(("Ongoing"),(H1))))</formula>
    </cfRule>
  </conditionalFormatting>
  <conditionalFormatting sqref="E1:E704">
    <cfRule type="cellIs" dxfId="5" priority="5" operator="equal">
      <formula>"Ren'Py"</formula>
    </cfRule>
  </conditionalFormatting>
  <conditionalFormatting sqref="E1:E704">
    <cfRule type="cellIs" dxfId="6" priority="6" operator="equal">
      <formula>"HTML"</formula>
    </cfRule>
  </conditionalFormatting>
  <conditionalFormatting sqref="E1:E704">
    <cfRule type="cellIs" dxfId="7" priority="7" operator="equal">
      <formula>"RPGM"</formula>
    </cfRule>
  </conditionalFormatting>
  <conditionalFormatting sqref="E1:E704">
    <cfRule type="cellIs" dxfId="8" priority="8" operator="equal">
      <formula>"Unity"</formula>
    </cfRule>
  </conditionalFormatting>
  <conditionalFormatting sqref="E1:E704">
    <cfRule type="cellIs" dxfId="9" priority="9" operator="equal">
      <formula>"Others"</formula>
    </cfRule>
  </conditionalFormatting>
  <conditionalFormatting sqref="E1:E704">
    <cfRule type="cellIs" dxfId="10" priority="10" operator="equal">
      <formula>"Unreal"</formula>
    </cfRule>
  </conditionalFormatting>
  <conditionalFormatting sqref="E1:E704">
    <cfRule type="cellIs" dxfId="11" priority="11" operator="equal">
      <formula>"WebGL"</formula>
    </cfRule>
  </conditionalFormatting>
  <conditionalFormatting sqref="F1:F704 H54 H369 H382 H387:H389 H397 H405 H417 H431 H433 H435 G586">
    <cfRule type="cellIs" dxfId="12" priority="12" operator="equal">
      <formula>"Visual Novel"</formula>
    </cfRule>
  </conditionalFormatting>
  <conditionalFormatting sqref="F1:F704 H54 H369 H382 H387:H389 H397 H405 H417 H431 H433 H435 G586">
    <cfRule type="cellIs" dxfId="13" priority="13" operator="equal">
      <formula>"Sandbox"</formula>
    </cfRule>
  </conditionalFormatting>
  <conditionalFormatting sqref="F1:F704 H54 H369 H382 H387:H389 H397 H405 H417 H431 H433 H435 G586">
    <cfRule type="cellIs" dxfId="14" priority="14" operator="equal">
      <formula>"RPG"</formula>
    </cfRule>
  </conditionalFormatting>
  <conditionalFormatting sqref="F1:F704 H54 H369 H382 H387:H389 H397 H405 H417 H431 H433 H435 G586">
    <cfRule type="cellIs" dxfId="15" priority="15" operator="equal">
      <formula>"TBC"</formula>
    </cfRule>
  </conditionalFormatting>
  <conditionalFormatting sqref="F1:F704 H54 H369 H382 H387:H389 H397 H405 H417 H431 H433 H435 G586">
    <cfRule type="cellIs" dxfId="16" priority="16" operator="equal">
      <formula>"----"</formula>
    </cfRule>
  </conditionalFormatting>
  <conditionalFormatting sqref="G1:G704">
    <cfRule type="cellIs" dxfId="17" priority="17" operator="equal">
      <formula>"Koikatsu"</formula>
    </cfRule>
  </conditionalFormatting>
  <conditionalFormatting sqref="G1:G704">
    <cfRule type="cellIs" dxfId="18" priority="18" operator="equal">
      <formula>"COM3D2"</formula>
    </cfRule>
  </conditionalFormatting>
  <conditionalFormatting sqref="G1:G704">
    <cfRule type="cellIs" dxfId="19" priority="19" operator="equal">
      <formula>"Traced"</formula>
    </cfRule>
  </conditionalFormatting>
  <conditionalFormatting sqref="G1:G704">
    <cfRule type="cellIs" dxfId="20" priority="20" operator="equal">
      <formula>"Others"</formula>
    </cfRule>
  </conditionalFormatting>
  <conditionalFormatting sqref="G1:G704">
    <cfRule type="cellIs" dxfId="9" priority="21" operator="equal">
      <formula>"Original?"</formula>
    </cfRule>
  </conditionalFormatting>
  <conditionalFormatting sqref="F1:F704 H54 H369 H382 H387:H389 H397 H405 H417 H431 H433 H435 G586">
    <cfRule type="cellIs" dxfId="21" priority="22" operator="equal">
      <formula>"Management"</formula>
    </cfRule>
  </conditionalFormatting>
  <conditionalFormatting sqref="F1:F704 H54 H369 H382 H387:H389 H397 H405 H417 H431 H433 H435 G586">
    <cfRule type="cellIs" dxfId="21" priority="23" operator="equal">
      <formula>"Simulator"</formula>
    </cfRule>
  </conditionalFormatting>
  <conditionalFormatting sqref="G1:G704">
    <cfRule type="cellIs" dxfId="22" priority="24" operator="equal">
      <formula>"Undefined"</formula>
    </cfRule>
  </conditionalFormatting>
  <conditionalFormatting sqref="H1:H368 H370:H704">
    <cfRule type="containsText" dxfId="23" priority="25" operator="containsText" text="Active">
      <formula>NOT(ISERROR(SEARCH(("Active"),(H1))))</formula>
    </cfRule>
  </conditionalFormatting>
  <conditionalFormatting sqref="E1:E704">
    <cfRule type="cellIs" dxfId="24" priority="26" operator="equal">
      <formula>"Wolf RPG"</formula>
    </cfRule>
  </conditionalFormatting>
  <conditionalFormatting sqref="G1:G704">
    <cfRule type="cellIs" dxfId="25" priority="27" operator="equal">
      <formula>"AI"</formula>
    </cfRule>
  </conditionalFormatting>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 r:id="rId197" ref="D197"/>
    <hyperlink r:id="rId198" ref="D198"/>
    <hyperlink r:id="rId199" ref="D199"/>
    <hyperlink r:id="rId200" ref="D200"/>
    <hyperlink r:id="rId201" ref="D201"/>
    <hyperlink r:id="rId202" ref="D202"/>
    <hyperlink r:id="rId203" ref="D203"/>
    <hyperlink r:id="rId204" ref="D204"/>
    <hyperlink r:id="rId205" ref="D205"/>
    <hyperlink r:id="rId206" ref="D206"/>
    <hyperlink r:id="rId207" ref="D207"/>
    <hyperlink r:id="rId208" ref="D208"/>
    <hyperlink r:id="rId209" ref="D209"/>
    <hyperlink r:id="rId210" ref="D210"/>
    <hyperlink r:id="rId211" ref="D211"/>
    <hyperlink r:id="rId212" ref="D212"/>
    <hyperlink r:id="rId213" ref="D213"/>
    <hyperlink r:id="rId214" ref="D214"/>
    <hyperlink r:id="rId215" ref="D215"/>
    <hyperlink r:id="rId216" ref="D216"/>
    <hyperlink r:id="rId217" ref="D217"/>
    <hyperlink r:id="rId218" ref="D218"/>
    <hyperlink r:id="rId219" ref="D219"/>
    <hyperlink r:id="rId220" ref="D220"/>
    <hyperlink r:id="rId221" ref="D221"/>
    <hyperlink r:id="rId222" ref="D222"/>
    <hyperlink r:id="rId223" ref="D223"/>
    <hyperlink r:id="rId224" ref="D224"/>
    <hyperlink r:id="rId225" ref="D225"/>
    <hyperlink r:id="rId226" ref="D226"/>
    <hyperlink r:id="rId227" ref="D227"/>
    <hyperlink r:id="rId228" ref="D228"/>
    <hyperlink r:id="rId229" ref="D229"/>
    <hyperlink r:id="rId230" ref="D230"/>
    <hyperlink r:id="rId231" ref="D231"/>
    <hyperlink r:id="rId232" ref="D232"/>
    <hyperlink r:id="rId233" ref="D233"/>
    <hyperlink r:id="rId234" ref="D234"/>
    <hyperlink r:id="rId235" ref="D235"/>
    <hyperlink r:id="rId236" ref="D236"/>
    <hyperlink r:id="rId237" ref="D237"/>
    <hyperlink r:id="rId238" ref="D238"/>
    <hyperlink r:id="rId239" ref="D239"/>
    <hyperlink r:id="rId240" ref="D240"/>
    <hyperlink r:id="rId241" ref="D241"/>
    <hyperlink r:id="rId242" ref="D242"/>
    <hyperlink r:id="rId243" ref="D243"/>
    <hyperlink r:id="rId244" ref="D244"/>
    <hyperlink r:id="rId245" ref="D245"/>
    <hyperlink r:id="rId246" ref="D246"/>
    <hyperlink r:id="rId247" ref="D247"/>
    <hyperlink r:id="rId248" ref="D248"/>
    <hyperlink r:id="rId249" ref="D249"/>
    <hyperlink r:id="rId250" ref="D250"/>
    <hyperlink r:id="rId251" ref="D251"/>
    <hyperlink r:id="rId252" ref="D252"/>
    <hyperlink r:id="rId253" ref="D253"/>
    <hyperlink r:id="rId254" ref="D254"/>
    <hyperlink r:id="rId255" ref="D255"/>
    <hyperlink r:id="rId256" ref="D256"/>
    <hyperlink r:id="rId257" ref="D257"/>
    <hyperlink r:id="rId258" ref="D258"/>
    <hyperlink r:id="rId259" ref="D259"/>
    <hyperlink r:id="rId260" ref="D260"/>
    <hyperlink r:id="rId261" ref="D261"/>
    <hyperlink r:id="rId262" ref="D262"/>
    <hyperlink r:id="rId263" ref="D263"/>
    <hyperlink r:id="rId264" ref="D264"/>
    <hyperlink r:id="rId265" ref="D265"/>
    <hyperlink r:id="rId266" ref="D266"/>
    <hyperlink r:id="rId267" ref="D267"/>
    <hyperlink r:id="rId268" ref="D268"/>
    <hyperlink r:id="rId269" ref="D269"/>
    <hyperlink r:id="rId270" ref="D270"/>
    <hyperlink r:id="rId271" ref="D271"/>
    <hyperlink r:id="rId272" ref="D272"/>
    <hyperlink r:id="rId273" ref="D273"/>
    <hyperlink r:id="rId274" ref="D274"/>
    <hyperlink r:id="rId275" ref="D275"/>
    <hyperlink r:id="rId276" ref="D276"/>
    <hyperlink r:id="rId277" ref="D277"/>
    <hyperlink r:id="rId278" ref="D278"/>
    <hyperlink r:id="rId279" ref="D279"/>
    <hyperlink r:id="rId280" ref="D280"/>
    <hyperlink r:id="rId281" ref="D281"/>
    <hyperlink r:id="rId282" ref="D282"/>
    <hyperlink r:id="rId283" ref="D283"/>
    <hyperlink r:id="rId284" ref="D284"/>
    <hyperlink r:id="rId285" ref="D285"/>
    <hyperlink r:id="rId286" ref="D286"/>
    <hyperlink r:id="rId287" ref="D287"/>
    <hyperlink r:id="rId288" ref="D288"/>
    <hyperlink r:id="rId289" ref="D289"/>
    <hyperlink r:id="rId290" ref="D290"/>
    <hyperlink r:id="rId291" ref="D291"/>
    <hyperlink r:id="rId292" ref="D292"/>
    <hyperlink r:id="rId293" ref="D293"/>
    <hyperlink r:id="rId294" ref="D294"/>
    <hyperlink r:id="rId295" ref="D295"/>
    <hyperlink r:id="rId296" ref="D296"/>
    <hyperlink r:id="rId297" ref="D297"/>
    <hyperlink r:id="rId298" ref="D298"/>
    <hyperlink r:id="rId299" ref="D299"/>
    <hyperlink r:id="rId300" ref="D300"/>
    <hyperlink r:id="rId301" ref="D301"/>
    <hyperlink r:id="rId302" ref="D302"/>
    <hyperlink r:id="rId303" ref="D303"/>
    <hyperlink r:id="rId304" ref="D304"/>
    <hyperlink r:id="rId305" ref="D305"/>
    <hyperlink r:id="rId306" ref="D306"/>
    <hyperlink r:id="rId307" ref="D307"/>
    <hyperlink r:id="rId308" ref="D308"/>
    <hyperlink r:id="rId309" ref="D309"/>
    <hyperlink r:id="rId310" ref="D310"/>
    <hyperlink r:id="rId311" ref="D311"/>
    <hyperlink r:id="rId312" ref="D312"/>
    <hyperlink r:id="rId313" ref="D313"/>
    <hyperlink r:id="rId314" ref="D314"/>
    <hyperlink r:id="rId315" ref="D315"/>
    <hyperlink r:id="rId316" ref="D316"/>
    <hyperlink r:id="rId317" ref="D317"/>
    <hyperlink r:id="rId318" ref="D318"/>
    <hyperlink r:id="rId319" ref="D319"/>
    <hyperlink r:id="rId320" ref="D320"/>
    <hyperlink r:id="rId321" ref="D321"/>
    <hyperlink r:id="rId322" ref="D322"/>
    <hyperlink r:id="rId323" ref="D323"/>
    <hyperlink r:id="rId324" ref="D324"/>
    <hyperlink r:id="rId325" ref="D325"/>
    <hyperlink r:id="rId326" ref="D326"/>
    <hyperlink r:id="rId327" ref="D327"/>
    <hyperlink r:id="rId328" ref="D328"/>
    <hyperlink r:id="rId329" ref="D329"/>
    <hyperlink r:id="rId330" ref="D330"/>
    <hyperlink r:id="rId331" ref="D331"/>
    <hyperlink r:id="rId332" ref="D332"/>
    <hyperlink r:id="rId333" ref="D333"/>
    <hyperlink r:id="rId334" ref="D334"/>
    <hyperlink r:id="rId335" ref="D335"/>
    <hyperlink r:id="rId336" ref="D336"/>
    <hyperlink r:id="rId337" ref="D337"/>
    <hyperlink r:id="rId338" ref="D338"/>
    <hyperlink r:id="rId339" ref="D339"/>
    <hyperlink r:id="rId340" ref="D340"/>
    <hyperlink r:id="rId341" ref="D341"/>
    <hyperlink r:id="rId342" ref="D342"/>
    <hyperlink r:id="rId343" ref="D343"/>
    <hyperlink r:id="rId344" ref="D344"/>
    <hyperlink r:id="rId345" ref="D345"/>
    <hyperlink r:id="rId346" ref="D346"/>
    <hyperlink r:id="rId347" ref="D347"/>
    <hyperlink r:id="rId348" ref="D348"/>
    <hyperlink r:id="rId349" ref="D349"/>
    <hyperlink r:id="rId350" ref="D350"/>
    <hyperlink r:id="rId351" ref="D351"/>
    <hyperlink r:id="rId352" ref="D352"/>
    <hyperlink r:id="rId353" ref="D353"/>
    <hyperlink r:id="rId354" ref="D354"/>
    <hyperlink r:id="rId355" ref="D355"/>
    <hyperlink r:id="rId356" ref="D356"/>
    <hyperlink r:id="rId357" ref="D357"/>
    <hyperlink r:id="rId358" ref="D358"/>
    <hyperlink r:id="rId359" ref="D359"/>
    <hyperlink r:id="rId360" ref="D360"/>
    <hyperlink r:id="rId361" ref="D361"/>
    <hyperlink r:id="rId362" ref="D362"/>
    <hyperlink r:id="rId363" ref="D363"/>
    <hyperlink r:id="rId364" ref="D364"/>
    <hyperlink r:id="rId365" ref="D365"/>
    <hyperlink r:id="rId366" ref="D366"/>
    <hyperlink r:id="rId367" ref="D367"/>
    <hyperlink r:id="rId368" ref="D368"/>
    <hyperlink r:id="rId369" ref="D369"/>
    <hyperlink r:id="rId370" ref="D370"/>
    <hyperlink r:id="rId371" ref="D371"/>
    <hyperlink r:id="rId372" ref="D372"/>
    <hyperlink r:id="rId373" ref="D373"/>
    <hyperlink r:id="rId374" ref="D374"/>
    <hyperlink r:id="rId375" ref="D375"/>
    <hyperlink r:id="rId376" ref="D376"/>
    <hyperlink r:id="rId377" ref="D377"/>
    <hyperlink r:id="rId378" ref="D378"/>
    <hyperlink r:id="rId379" ref="D379"/>
    <hyperlink r:id="rId380" ref="D380"/>
    <hyperlink r:id="rId381" ref="D381"/>
    <hyperlink r:id="rId382" ref="D382"/>
    <hyperlink r:id="rId383" ref="D383"/>
    <hyperlink r:id="rId384" ref="D384"/>
    <hyperlink r:id="rId385" ref="D385"/>
    <hyperlink r:id="rId386" ref="D386"/>
    <hyperlink r:id="rId387" ref="D387"/>
    <hyperlink r:id="rId388" ref="D388"/>
    <hyperlink r:id="rId389" ref="D389"/>
    <hyperlink r:id="rId390" ref="D390"/>
    <hyperlink r:id="rId391" ref="D391"/>
    <hyperlink r:id="rId392" ref="D392"/>
    <hyperlink r:id="rId393" ref="D393"/>
    <hyperlink r:id="rId394" ref="D394"/>
    <hyperlink r:id="rId395" ref="D395"/>
    <hyperlink r:id="rId396" ref="D396"/>
    <hyperlink r:id="rId397" ref="D397"/>
    <hyperlink r:id="rId398" ref="D398"/>
    <hyperlink r:id="rId399" ref="D399"/>
    <hyperlink r:id="rId400" ref="D400"/>
    <hyperlink r:id="rId401" ref="D401"/>
    <hyperlink r:id="rId402" ref="D402"/>
    <hyperlink r:id="rId403" ref="D403"/>
    <hyperlink r:id="rId404" ref="D404"/>
    <hyperlink r:id="rId405" ref="D405"/>
    <hyperlink r:id="rId406" ref="D406"/>
    <hyperlink r:id="rId407" ref="D407"/>
    <hyperlink r:id="rId408" ref="D408"/>
    <hyperlink r:id="rId409" ref="D409"/>
    <hyperlink r:id="rId410" ref="D410"/>
    <hyperlink r:id="rId411" ref="D411"/>
    <hyperlink r:id="rId412" ref="D412"/>
    <hyperlink r:id="rId413" ref="D413"/>
    <hyperlink r:id="rId414" ref="D414"/>
    <hyperlink r:id="rId415" ref="D415"/>
    <hyperlink r:id="rId416" ref="D416"/>
    <hyperlink r:id="rId417" ref="D417"/>
    <hyperlink r:id="rId418" ref="D418"/>
    <hyperlink r:id="rId419" ref="D419"/>
    <hyperlink r:id="rId420" ref="D420"/>
    <hyperlink r:id="rId421" ref="D421"/>
    <hyperlink r:id="rId422" ref="D422"/>
    <hyperlink r:id="rId423" ref="D423"/>
    <hyperlink r:id="rId424" ref="D424"/>
    <hyperlink r:id="rId425" ref="D425"/>
    <hyperlink r:id="rId426" ref="D426"/>
    <hyperlink r:id="rId427" ref="D427"/>
    <hyperlink r:id="rId428" ref="D428"/>
    <hyperlink r:id="rId429" ref="D429"/>
    <hyperlink r:id="rId430" ref="D430"/>
    <hyperlink r:id="rId431" ref="D431"/>
    <hyperlink r:id="rId432" ref="D432"/>
    <hyperlink r:id="rId433" ref="D433"/>
    <hyperlink r:id="rId434" ref="D434"/>
    <hyperlink r:id="rId435" ref="D435"/>
    <hyperlink r:id="rId436" ref="D436"/>
    <hyperlink r:id="rId437" ref="D437"/>
    <hyperlink r:id="rId438" ref="D438"/>
    <hyperlink r:id="rId439" ref="D439"/>
    <hyperlink r:id="rId440" ref="D440"/>
    <hyperlink r:id="rId441" ref="D441"/>
    <hyperlink r:id="rId442" ref="D442"/>
    <hyperlink r:id="rId443" ref="D443"/>
    <hyperlink r:id="rId444" ref="D444"/>
    <hyperlink r:id="rId445" ref="D445"/>
    <hyperlink r:id="rId446" ref="D446"/>
    <hyperlink r:id="rId447" ref="D447"/>
    <hyperlink r:id="rId448" ref="D448"/>
    <hyperlink r:id="rId449" ref="D449"/>
    <hyperlink r:id="rId450" ref="D450"/>
    <hyperlink r:id="rId451" ref="D451"/>
    <hyperlink r:id="rId452" ref="D452"/>
    <hyperlink r:id="rId453" ref="D453"/>
    <hyperlink r:id="rId454" ref="D454"/>
    <hyperlink r:id="rId455" ref="D455"/>
    <hyperlink r:id="rId456" ref="D456"/>
    <hyperlink r:id="rId457" ref="D457"/>
    <hyperlink r:id="rId458" ref="D458"/>
    <hyperlink r:id="rId459" ref="D459"/>
    <hyperlink r:id="rId460" ref="D460"/>
    <hyperlink r:id="rId461" ref="D461"/>
    <hyperlink r:id="rId462" ref="D462"/>
    <hyperlink r:id="rId463" ref="D463"/>
    <hyperlink r:id="rId464" ref="D464"/>
    <hyperlink r:id="rId465" ref="D465"/>
    <hyperlink r:id="rId466" ref="D466"/>
    <hyperlink r:id="rId467" ref="D467"/>
    <hyperlink r:id="rId468" ref="D468"/>
    <hyperlink r:id="rId469" ref="D469"/>
    <hyperlink r:id="rId470" ref="D470"/>
    <hyperlink r:id="rId471" ref="D471"/>
    <hyperlink r:id="rId472" ref="D472"/>
    <hyperlink r:id="rId473" ref="D473"/>
    <hyperlink r:id="rId474" ref="D474"/>
    <hyperlink r:id="rId475" ref="D475"/>
    <hyperlink r:id="rId476" ref="D476"/>
    <hyperlink r:id="rId477" ref="D477"/>
    <hyperlink r:id="rId478" ref="D478"/>
    <hyperlink r:id="rId479" ref="D479"/>
    <hyperlink r:id="rId480" ref="D480"/>
    <hyperlink r:id="rId481" ref="D481"/>
    <hyperlink r:id="rId482" ref="D482"/>
    <hyperlink r:id="rId483" ref="D483"/>
    <hyperlink r:id="rId484" ref="D484"/>
    <hyperlink r:id="rId485" ref="D485"/>
    <hyperlink r:id="rId486" ref="D486"/>
    <hyperlink r:id="rId487" ref="D487"/>
    <hyperlink r:id="rId488" ref="D488"/>
    <hyperlink r:id="rId489" ref="D489"/>
    <hyperlink r:id="rId490" ref="D490"/>
    <hyperlink r:id="rId491" ref="D491"/>
    <hyperlink r:id="rId492" ref="D492"/>
    <hyperlink r:id="rId493" ref="D493"/>
    <hyperlink r:id="rId494" ref="D494"/>
    <hyperlink r:id="rId495" ref="D495"/>
    <hyperlink r:id="rId496" ref="D496"/>
    <hyperlink r:id="rId497" ref="D497"/>
    <hyperlink r:id="rId498" ref="D498"/>
    <hyperlink r:id="rId499" ref="D499"/>
    <hyperlink r:id="rId500" ref="D500"/>
    <hyperlink r:id="rId501" ref="D501"/>
    <hyperlink r:id="rId502" ref="D502"/>
    <hyperlink r:id="rId503" ref="D503"/>
    <hyperlink r:id="rId504" ref="D504"/>
    <hyperlink r:id="rId505" ref="D505"/>
    <hyperlink r:id="rId506" ref="D506"/>
    <hyperlink r:id="rId507" ref="D507"/>
    <hyperlink r:id="rId508" ref="D508"/>
    <hyperlink r:id="rId509" ref="D509"/>
    <hyperlink r:id="rId510" ref="D510"/>
    <hyperlink r:id="rId511" ref="D511"/>
    <hyperlink r:id="rId512" ref="D512"/>
    <hyperlink r:id="rId513" ref="D513"/>
    <hyperlink r:id="rId514" ref="D514"/>
    <hyperlink r:id="rId515" ref="D515"/>
    <hyperlink r:id="rId516" ref="D516"/>
    <hyperlink r:id="rId517" ref="D517"/>
    <hyperlink r:id="rId518" ref="D518"/>
    <hyperlink r:id="rId519" ref="D519"/>
    <hyperlink r:id="rId520" ref="D520"/>
    <hyperlink r:id="rId521" ref="D521"/>
    <hyperlink r:id="rId522" ref="D522"/>
    <hyperlink r:id="rId523" ref="D523"/>
    <hyperlink r:id="rId524" ref="D524"/>
    <hyperlink r:id="rId525" ref="D525"/>
    <hyperlink r:id="rId526" ref="D526"/>
    <hyperlink r:id="rId527" ref="D527"/>
    <hyperlink r:id="rId528" ref="D528"/>
    <hyperlink r:id="rId529" ref="D529"/>
    <hyperlink r:id="rId530" ref="D530"/>
    <hyperlink r:id="rId531" ref="D531"/>
    <hyperlink r:id="rId532" ref="D532"/>
    <hyperlink r:id="rId533" ref="D533"/>
    <hyperlink r:id="rId534" ref="D534"/>
    <hyperlink r:id="rId535" ref="D535"/>
    <hyperlink r:id="rId536" ref="D536"/>
    <hyperlink r:id="rId537" ref="D537"/>
    <hyperlink r:id="rId538" ref="D538"/>
    <hyperlink r:id="rId539" ref="D539"/>
    <hyperlink r:id="rId540" ref="D540"/>
    <hyperlink r:id="rId541" ref="D541"/>
    <hyperlink r:id="rId542" ref="D542"/>
    <hyperlink r:id="rId543" ref="D543"/>
    <hyperlink r:id="rId544" ref="D544"/>
    <hyperlink r:id="rId545" ref="D545"/>
    <hyperlink r:id="rId546" ref="D546"/>
    <hyperlink r:id="rId547" ref="D547"/>
    <hyperlink r:id="rId548" ref="D548"/>
    <hyperlink r:id="rId549" ref="D549"/>
    <hyperlink r:id="rId550" ref="D550"/>
    <hyperlink r:id="rId551" ref="D551"/>
    <hyperlink r:id="rId552" ref="D552"/>
    <hyperlink r:id="rId553" ref="D553"/>
    <hyperlink r:id="rId554" ref="D554"/>
    <hyperlink r:id="rId555" ref="D555"/>
    <hyperlink r:id="rId556" ref="D556"/>
    <hyperlink r:id="rId557" ref="D557"/>
    <hyperlink r:id="rId558" ref="D558"/>
    <hyperlink r:id="rId559" ref="D559"/>
    <hyperlink r:id="rId560" ref="D560"/>
    <hyperlink r:id="rId561" ref="D561"/>
    <hyperlink r:id="rId562" ref="D562"/>
    <hyperlink r:id="rId563" ref="D563"/>
    <hyperlink r:id="rId564" ref="D564"/>
    <hyperlink r:id="rId565" ref="D565"/>
    <hyperlink r:id="rId566" ref="D566"/>
    <hyperlink r:id="rId567" ref="D567"/>
    <hyperlink r:id="rId568" ref="D568"/>
    <hyperlink r:id="rId569" ref="D569"/>
    <hyperlink r:id="rId570" ref="D570"/>
    <hyperlink r:id="rId571" ref="D571"/>
    <hyperlink r:id="rId572" ref="D572"/>
    <hyperlink r:id="rId573" ref="D573"/>
    <hyperlink r:id="rId574" ref="D574"/>
    <hyperlink r:id="rId575" ref="D575"/>
    <hyperlink r:id="rId576" ref="D576"/>
    <hyperlink r:id="rId577" ref="D577"/>
    <hyperlink r:id="rId578" ref="D578"/>
    <hyperlink r:id="rId579" ref="D579"/>
    <hyperlink r:id="rId580" ref="D580"/>
    <hyperlink r:id="rId581" ref="D581"/>
    <hyperlink r:id="rId582" ref="D582"/>
    <hyperlink r:id="rId583" ref="D583"/>
    <hyperlink r:id="rId584" ref="D584"/>
    <hyperlink r:id="rId585" ref="D585"/>
    <hyperlink r:id="rId586" ref="D586"/>
    <hyperlink r:id="rId587" ref="D587"/>
    <hyperlink r:id="rId588" ref="D588"/>
    <hyperlink r:id="rId589" ref="D589"/>
    <hyperlink r:id="rId590" ref="D590"/>
    <hyperlink r:id="rId591" ref="D591"/>
    <hyperlink r:id="rId592" ref="D592"/>
    <hyperlink r:id="rId593" ref="D593"/>
    <hyperlink r:id="rId594" ref="D594"/>
    <hyperlink r:id="rId595" ref="D595"/>
    <hyperlink r:id="rId596" ref="D596"/>
    <hyperlink r:id="rId597" ref="D597"/>
    <hyperlink r:id="rId598" ref="D598"/>
    <hyperlink r:id="rId599" ref="D599"/>
    <hyperlink r:id="rId600" ref="D600"/>
    <hyperlink r:id="rId601" ref="D601"/>
    <hyperlink r:id="rId602" ref="D602"/>
    <hyperlink r:id="rId603" ref="D603"/>
    <hyperlink r:id="rId604" ref="D604"/>
    <hyperlink r:id="rId605" ref="D605"/>
    <hyperlink r:id="rId606" ref="D606"/>
    <hyperlink r:id="rId607" ref="D607"/>
    <hyperlink r:id="rId608" ref="D608"/>
    <hyperlink r:id="rId609" ref="D609"/>
    <hyperlink r:id="rId610" ref="D610"/>
    <hyperlink r:id="rId611" ref="D611"/>
    <hyperlink r:id="rId612" ref="D612"/>
    <hyperlink r:id="rId613" ref="D613"/>
    <hyperlink r:id="rId614" ref="D614"/>
    <hyperlink r:id="rId615" ref="D615"/>
    <hyperlink r:id="rId616" ref="D616"/>
    <hyperlink r:id="rId617" ref="D617"/>
    <hyperlink r:id="rId618" ref="D618"/>
    <hyperlink r:id="rId619" ref="D619"/>
    <hyperlink r:id="rId620" ref="D620"/>
    <hyperlink r:id="rId621" ref="D621"/>
    <hyperlink r:id="rId622" ref="D622"/>
    <hyperlink r:id="rId623" ref="D623"/>
    <hyperlink r:id="rId624" ref="D624"/>
    <hyperlink r:id="rId625" ref="D625"/>
    <hyperlink r:id="rId626" ref="D626"/>
    <hyperlink r:id="rId627" ref="D627"/>
    <hyperlink r:id="rId628" ref="D628"/>
    <hyperlink r:id="rId629" ref="D629"/>
    <hyperlink r:id="rId630" ref="D630"/>
    <hyperlink r:id="rId631" ref="D631"/>
    <hyperlink r:id="rId632" ref="D632"/>
    <hyperlink r:id="rId633" ref="D633"/>
    <hyperlink r:id="rId634" ref="D634"/>
    <hyperlink r:id="rId635" ref="D635"/>
    <hyperlink r:id="rId636" ref="D636"/>
    <hyperlink r:id="rId637" ref="D637"/>
    <hyperlink r:id="rId638" ref="D638"/>
    <hyperlink r:id="rId639" ref="D639"/>
    <hyperlink r:id="rId640" ref="D640"/>
    <hyperlink r:id="rId641" ref="D641"/>
    <hyperlink r:id="rId642" ref="D642"/>
    <hyperlink r:id="rId643" ref="D643"/>
    <hyperlink r:id="rId644" ref="D644"/>
    <hyperlink r:id="rId645" ref="D645"/>
    <hyperlink r:id="rId646" ref="D646"/>
    <hyperlink r:id="rId647" ref="D647"/>
    <hyperlink r:id="rId648" ref="D648"/>
    <hyperlink r:id="rId649" ref="D649"/>
    <hyperlink r:id="rId650" ref="D650"/>
    <hyperlink r:id="rId651" ref="D651"/>
    <hyperlink r:id="rId652" ref="D652"/>
    <hyperlink r:id="rId653" ref="D653"/>
    <hyperlink r:id="rId654" ref="D654"/>
    <hyperlink r:id="rId655" ref="D655"/>
    <hyperlink r:id="rId656" ref="D656"/>
    <hyperlink r:id="rId657" ref="D657"/>
    <hyperlink r:id="rId658" ref="D658"/>
    <hyperlink r:id="rId659" ref="D659"/>
    <hyperlink r:id="rId660" ref="D660"/>
    <hyperlink r:id="rId661" ref="D661"/>
    <hyperlink r:id="rId662" ref="D662"/>
    <hyperlink r:id="rId663" ref="D663"/>
    <hyperlink r:id="rId664" ref="D664"/>
    <hyperlink r:id="rId665" ref="D665"/>
    <hyperlink r:id="rId666" ref="D666"/>
    <hyperlink r:id="rId667" ref="D667"/>
    <hyperlink r:id="rId668" ref="D668"/>
    <hyperlink r:id="rId669" ref="D669"/>
    <hyperlink r:id="rId670" ref="D670"/>
    <hyperlink r:id="rId671" ref="D671"/>
    <hyperlink r:id="rId672" ref="D672"/>
    <hyperlink r:id="rId673" ref="D673"/>
    <hyperlink r:id="rId674" ref="D674"/>
    <hyperlink r:id="rId675" ref="D675"/>
    <hyperlink r:id="rId676" ref="D676"/>
    <hyperlink r:id="rId677" ref="D677"/>
    <hyperlink r:id="rId678" ref="D678"/>
    <hyperlink r:id="rId679" ref="D679"/>
    <hyperlink r:id="rId680" ref="D680"/>
    <hyperlink r:id="rId681" ref="D681"/>
    <hyperlink r:id="rId682" ref="D682"/>
    <hyperlink r:id="rId683" ref="D683"/>
    <hyperlink r:id="rId684" ref="D684"/>
    <hyperlink r:id="rId685" ref="D685"/>
    <hyperlink r:id="rId686" ref="D686"/>
    <hyperlink r:id="rId687" ref="D687"/>
    <hyperlink r:id="rId688" ref="D688"/>
    <hyperlink r:id="rId689" ref="D689"/>
    <hyperlink r:id="rId690" ref="D690"/>
    <hyperlink r:id="rId691" ref="D691"/>
    <hyperlink r:id="rId692" ref="D692"/>
    <hyperlink r:id="rId693" ref="D693"/>
    <hyperlink r:id="rId694" ref="D694"/>
    <hyperlink r:id="rId695" ref="D695"/>
    <hyperlink r:id="rId696" ref="D696"/>
    <hyperlink r:id="rId697" ref="D697"/>
    <hyperlink r:id="rId698" ref="D698"/>
    <hyperlink r:id="rId699" ref="D699"/>
    <hyperlink r:id="rId700" ref="D700"/>
    <hyperlink r:id="rId701" ref="D701"/>
    <hyperlink r:id="rId702" ref="D702"/>
  </hyperlinks>
  <drawing r:id="rId703"/>
  <legacyDrawing r:id="rId70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13" max="13" width="1.38"/>
  </cols>
  <sheetData>
    <row r="1" ht="7.5" customHeight="1">
      <c r="A1" s="1"/>
      <c r="B1" s="1"/>
      <c r="M1" s="1"/>
    </row>
    <row r="2">
      <c r="A2" s="1"/>
      <c r="B2" s="6" t="s">
        <v>0</v>
      </c>
      <c r="C2" s="8" t="s">
        <v>3</v>
      </c>
      <c r="D2" s="9"/>
      <c r="E2" s="9"/>
      <c r="F2" s="9"/>
      <c r="G2" s="9"/>
      <c r="H2" s="9"/>
      <c r="I2" s="9"/>
      <c r="J2" s="9"/>
      <c r="K2" s="9"/>
      <c r="L2" s="11"/>
    </row>
    <row r="3">
      <c r="B3" s="12"/>
      <c r="C3" s="13" t="s">
        <v>9</v>
      </c>
      <c r="D3" s="9"/>
      <c r="E3" s="9"/>
      <c r="F3" s="9"/>
      <c r="G3" s="9"/>
      <c r="H3" s="9"/>
      <c r="I3" s="9"/>
      <c r="J3" s="9"/>
      <c r="K3" s="9"/>
      <c r="L3" s="11"/>
    </row>
    <row r="4">
      <c r="B4" s="14"/>
      <c r="C4" s="18" t="s">
        <v>15</v>
      </c>
      <c r="D4" s="9"/>
      <c r="E4" s="9"/>
      <c r="F4" s="9"/>
      <c r="G4" s="9"/>
      <c r="H4" s="9"/>
      <c r="I4" s="9"/>
      <c r="J4" s="9"/>
      <c r="K4" s="9"/>
      <c r="L4" s="11"/>
    </row>
    <row r="5" ht="7.5" customHeight="1">
      <c r="B5" s="21"/>
      <c r="C5" s="13"/>
      <c r="D5" s="9"/>
      <c r="E5" s="9"/>
      <c r="F5" s="9"/>
      <c r="G5" s="9"/>
      <c r="H5" s="9"/>
      <c r="I5" s="9"/>
      <c r="J5" s="9"/>
      <c r="K5" s="9"/>
      <c r="L5" s="11"/>
    </row>
    <row r="6">
      <c r="B6" s="21" t="s">
        <v>2</v>
      </c>
      <c r="C6" s="13" t="s">
        <v>23</v>
      </c>
      <c r="D6" s="9"/>
      <c r="E6" s="9"/>
      <c r="F6" s="9"/>
      <c r="G6" s="9"/>
      <c r="H6" s="9"/>
      <c r="I6" s="9"/>
      <c r="J6" s="9"/>
      <c r="K6" s="9"/>
      <c r="L6" s="11"/>
    </row>
    <row r="7" ht="7.5" customHeight="1">
      <c r="B7" s="21"/>
      <c r="C7" s="13"/>
      <c r="D7" s="9"/>
      <c r="E7" s="9"/>
      <c r="F7" s="9"/>
      <c r="G7" s="9"/>
      <c r="H7" s="9"/>
      <c r="I7" s="9"/>
      <c r="J7" s="9"/>
      <c r="K7" s="9"/>
      <c r="L7" s="11"/>
    </row>
    <row r="8">
      <c r="B8" s="6" t="s">
        <v>10</v>
      </c>
      <c r="C8" s="24" t="s">
        <v>26</v>
      </c>
      <c r="D8" s="9"/>
      <c r="E8" s="9"/>
      <c r="F8" s="9"/>
      <c r="G8" s="9"/>
      <c r="H8" s="9"/>
      <c r="I8" s="9"/>
      <c r="J8" s="9"/>
      <c r="K8" s="9"/>
      <c r="L8" s="11"/>
    </row>
    <row r="9">
      <c r="B9" s="12"/>
      <c r="C9" s="25" t="s">
        <v>28</v>
      </c>
      <c r="D9" s="9"/>
      <c r="E9" s="9"/>
      <c r="F9" s="9"/>
      <c r="G9" s="9"/>
      <c r="H9" s="9"/>
      <c r="I9" s="9"/>
      <c r="J9" s="9"/>
      <c r="K9" s="9"/>
      <c r="L9" s="11"/>
    </row>
    <row r="10">
      <c r="B10" s="12"/>
      <c r="C10" s="29" t="s">
        <v>33</v>
      </c>
      <c r="D10" s="9"/>
      <c r="E10" s="9"/>
      <c r="F10" s="9"/>
      <c r="G10" s="9"/>
      <c r="H10" s="9"/>
      <c r="I10" s="9"/>
      <c r="J10" s="9"/>
      <c r="K10" s="9"/>
      <c r="L10" s="11"/>
    </row>
    <row r="11">
      <c r="B11" s="12"/>
      <c r="C11" s="31" t="s">
        <v>38</v>
      </c>
      <c r="D11" s="9"/>
      <c r="E11" s="9"/>
      <c r="F11" s="9"/>
      <c r="G11" s="9"/>
      <c r="H11" s="9"/>
      <c r="I11" s="9"/>
      <c r="J11" s="9"/>
      <c r="K11" s="9"/>
      <c r="L11" s="11"/>
    </row>
    <row r="12">
      <c r="B12" s="12"/>
      <c r="C12" s="32" t="s">
        <v>42</v>
      </c>
      <c r="D12" s="9"/>
      <c r="E12" s="9"/>
      <c r="F12" s="9"/>
      <c r="G12" s="9"/>
      <c r="H12" s="9"/>
      <c r="I12" s="9"/>
      <c r="J12" s="9"/>
      <c r="K12" s="9"/>
      <c r="L12" s="11"/>
    </row>
    <row r="13">
      <c r="B13" s="12"/>
      <c r="C13" s="32" t="s">
        <v>47</v>
      </c>
      <c r="D13" s="9"/>
      <c r="E13" s="9"/>
      <c r="F13" s="9"/>
      <c r="G13" s="9"/>
      <c r="H13" s="9"/>
      <c r="I13" s="9"/>
      <c r="J13" s="9"/>
      <c r="K13" s="9"/>
      <c r="L13" s="11"/>
    </row>
    <row r="14">
      <c r="B14" s="12"/>
      <c r="C14" s="13" t="s">
        <v>49</v>
      </c>
      <c r="D14" s="9"/>
      <c r="E14" s="9"/>
      <c r="F14" s="9"/>
      <c r="G14" s="9"/>
      <c r="H14" s="9"/>
      <c r="I14" s="9"/>
      <c r="J14" s="9"/>
      <c r="K14" s="9"/>
      <c r="L14" s="11"/>
    </row>
    <row r="15">
      <c r="B15" s="12"/>
      <c r="C15" s="35" t="s">
        <v>51</v>
      </c>
      <c r="D15" s="9"/>
      <c r="E15" s="9"/>
      <c r="F15" s="9"/>
      <c r="G15" s="9"/>
      <c r="H15" s="9"/>
      <c r="I15" s="9"/>
      <c r="J15" s="9"/>
      <c r="K15" s="9"/>
      <c r="L15" s="11"/>
    </row>
    <row r="16">
      <c r="B16" s="14"/>
      <c r="C16" s="36" t="s">
        <v>57</v>
      </c>
      <c r="D16" s="9"/>
      <c r="E16" s="9"/>
      <c r="F16" s="9"/>
      <c r="G16" s="9"/>
      <c r="H16" s="9"/>
      <c r="I16" s="9"/>
      <c r="J16" s="9"/>
      <c r="K16" s="9"/>
      <c r="L16" s="11"/>
    </row>
    <row r="17" ht="7.5" customHeight="1">
      <c r="B17" s="21"/>
      <c r="C17" s="13"/>
      <c r="D17" s="9"/>
      <c r="E17" s="9"/>
      <c r="F17" s="9"/>
      <c r="G17" s="9"/>
      <c r="H17" s="9"/>
      <c r="I17" s="9"/>
      <c r="J17" s="9"/>
      <c r="K17" s="9"/>
      <c r="L17" s="11"/>
    </row>
    <row r="18">
      <c r="B18" s="6" t="s">
        <v>11</v>
      </c>
      <c r="C18" s="37" t="s">
        <v>62</v>
      </c>
      <c r="D18" s="9"/>
      <c r="E18" s="9"/>
      <c r="F18" s="9"/>
      <c r="G18" s="9"/>
      <c r="H18" s="9"/>
      <c r="I18" s="9"/>
      <c r="J18" s="9"/>
      <c r="K18" s="9"/>
      <c r="L18" s="11"/>
    </row>
    <row r="19">
      <c r="B19" s="12"/>
      <c r="C19" s="38" t="s">
        <v>66</v>
      </c>
      <c r="D19" s="9"/>
      <c r="E19" s="9"/>
      <c r="F19" s="9"/>
      <c r="G19" s="9"/>
      <c r="H19" s="9"/>
      <c r="I19" s="9"/>
      <c r="J19" s="9"/>
      <c r="K19" s="9"/>
      <c r="L19" s="11"/>
    </row>
    <row r="20">
      <c r="B20" s="12"/>
      <c r="C20" s="40" t="s">
        <v>69</v>
      </c>
      <c r="D20" s="9"/>
      <c r="E20" s="9"/>
      <c r="F20" s="9"/>
      <c r="G20" s="9"/>
      <c r="H20" s="9"/>
      <c r="I20" s="9"/>
      <c r="J20" s="9"/>
      <c r="K20" s="9"/>
      <c r="L20" s="11"/>
    </row>
    <row r="21">
      <c r="B21" s="12"/>
      <c r="C21" s="41" t="s">
        <v>73</v>
      </c>
      <c r="D21" s="9"/>
      <c r="E21" s="9"/>
      <c r="F21" s="9"/>
      <c r="G21" s="9"/>
      <c r="H21" s="9"/>
      <c r="I21" s="9"/>
      <c r="J21" s="9"/>
      <c r="K21" s="9"/>
      <c r="L21" s="11"/>
    </row>
    <row r="22">
      <c r="B22" s="12"/>
      <c r="C22" s="43" t="s">
        <v>78</v>
      </c>
      <c r="D22" s="9"/>
      <c r="E22" s="9"/>
      <c r="F22" s="9"/>
      <c r="G22" s="9"/>
      <c r="H22" s="9"/>
      <c r="I22" s="9"/>
      <c r="J22" s="9"/>
      <c r="K22" s="9"/>
      <c r="L22" s="11"/>
    </row>
    <row r="23">
      <c r="B23" s="14"/>
      <c r="C23" s="44" t="s">
        <v>81</v>
      </c>
      <c r="D23" s="9"/>
      <c r="E23" s="9"/>
      <c r="F23" s="9"/>
      <c r="G23" s="9"/>
      <c r="H23" s="9"/>
      <c r="I23" s="9"/>
      <c r="J23" s="9"/>
      <c r="K23" s="9"/>
      <c r="L23" s="11"/>
    </row>
    <row r="24" ht="7.5" customHeight="1">
      <c r="B24" s="21"/>
      <c r="C24" s="13"/>
      <c r="D24" s="9"/>
      <c r="E24" s="9"/>
      <c r="F24" s="9"/>
      <c r="G24" s="9"/>
      <c r="H24" s="9"/>
      <c r="I24" s="9"/>
      <c r="J24" s="9"/>
      <c r="K24" s="9"/>
      <c r="L24" s="11"/>
    </row>
    <row r="25">
      <c r="B25" s="21" t="s">
        <v>12</v>
      </c>
      <c r="C25" s="13" t="s">
        <v>86</v>
      </c>
      <c r="D25" s="9"/>
      <c r="E25" s="9"/>
      <c r="F25" s="9"/>
      <c r="G25" s="9"/>
      <c r="H25" s="9"/>
      <c r="I25" s="9"/>
      <c r="J25" s="9"/>
      <c r="K25" s="9"/>
      <c r="L25" s="11"/>
    </row>
    <row r="26" ht="7.5" customHeight="1">
      <c r="B26" s="21"/>
      <c r="C26" s="13"/>
      <c r="D26" s="9"/>
      <c r="E26" s="9"/>
      <c r="F26" s="9"/>
      <c r="G26" s="9"/>
      <c r="H26" s="9"/>
      <c r="I26" s="9"/>
      <c r="J26" s="9"/>
      <c r="K26" s="9"/>
      <c r="L26" s="11"/>
    </row>
    <row r="27">
      <c r="B27" s="6" t="s">
        <v>13</v>
      </c>
      <c r="C27" s="45" t="s">
        <v>92</v>
      </c>
      <c r="D27" s="46"/>
      <c r="E27" s="46"/>
      <c r="F27" s="46"/>
      <c r="G27" s="46"/>
      <c r="H27" s="46"/>
      <c r="I27" s="46"/>
      <c r="J27" s="46"/>
      <c r="K27" s="46"/>
      <c r="L27" s="47"/>
    </row>
    <row r="28">
      <c r="B28" s="14"/>
      <c r="C28" s="49"/>
      <c r="D28" s="50"/>
      <c r="E28" s="50"/>
      <c r="F28" s="50"/>
      <c r="G28" s="50"/>
      <c r="H28" s="50"/>
      <c r="I28" s="50"/>
      <c r="J28" s="50"/>
      <c r="K28" s="50"/>
      <c r="L28" s="51"/>
    </row>
    <row r="29">
      <c r="B29" s="1"/>
    </row>
    <row r="30">
      <c r="B30" s="52" t="s">
        <v>94</v>
      </c>
      <c r="C30" s="53" t="s">
        <v>95</v>
      </c>
      <c r="D30" s="46"/>
      <c r="E30" s="46"/>
      <c r="F30" s="46"/>
      <c r="G30" s="46"/>
      <c r="H30" s="46"/>
      <c r="I30" s="46"/>
      <c r="J30" s="46"/>
      <c r="K30" s="46"/>
      <c r="L30" s="47"/>
    </row>
    <row r="31">
      <c r="B31" s="14"/>
      <c r="C31" s="49"/>
      <c r="D31" s="50"/>
      <c r="E31" s="50"/>
      <c r="F31" s="50"/>
      <c r="G31" s="50"/>
      <c r="H31" s="50"/>
      <c r="I31" s="50"/>
      <c r="J31" s="50"/>
      <c r="K31" s="50"/>
      <c r="L31" s="51"/>
    </row>
    <row r="32" ht="7.5" customHeight="1">
      <c r="B32" s="54"/>
      <c r="C32" s="55"/>
      <c r="D32" s="9"/>
      <c r="E32" s="9"/>
      <c r="F32" s="9"/>
      <c r="G32" s="9"/>
      <c r="H32" s="9"/>
      <c r="I32" s="9"/>
      <c r="J32" s="9"/>
      <c r="K32" s="9"/>
      <c r="L32" s="11"/>
    </row>
    <row r="33">
      <c r="B33" s="21" t="s">
        <v>98</v>
      </c>
      <c r="C33" s="56" t="s">
        <v>99</v>
      </c>
      <c r="D33" s="9"/>
      <c r="E33" s="9"/>
      <c r="F33" s="9"/>
      <c r="G33" s="9"/>
      <c r="H33" s="9"/>
      <c r="I33" s="9"/>
      <c r="J33" s="9"/>
      <c r="K33" s="9"/>
      <c r="L33" s="11"/>
    </row>
    <row r="34" ht="7.5" customHeight="1">
      <c r="B34" s="54"/>
      <c r="C34" s="55"/>
      <c r="D34" s="9"/>
      <c r="E34" s="9"/>
      <c r="F34" s="9"/>
      <c r="G34" s="9"/>
      <c r="H34" s="9"/>
      <c r="I34" s="9"/>
      <c r="J34" s="9"/>
      <c r="K34" s="9"/>
      <c r="L34" s="11"/>
    </row>
    <row r="35">
      <c r="B35" s="57" t="s">
        <v>102</v>
      </c>
      <c r="C35" s="58" t="s">
        <v>103</v>
      </c>
      <c r="D35" s="46"/>
      <c r="E35" s="46"/>
      <c r="F35" s="46"/>
      <c r="G35" s="46"/>
      <c r="H35" s="47"/>
      <c r="I35" s="59" t="s">
        <v>106</v>
      </c>
      <c r="J35" s="46"/>
      <c r="K35" s="46"/>
      <c r="L35" s="47"/>
    </row>
    <row r="36">
      <c r="B36" s="14"/>
      <c r="C36" s="49"/>
      <c r="D36" s="50"/>
      <c r="E36" s="50"/>
      <c r="F36" s="50"/>
      <c r="G36" s="50"/>
      <c r="H36" s="51"/>
      <c r="I36" s="60" t="s">
        <v>107</v>
      </c>
      <c r="J36" s="50"/>
      <c r="K36" s="50"/>
      <c r="L36" s="51"/>
    </row>
    <row r="37">
      <c r="B37" s="1"/>
    </row>
  </sheetData>
  <mergeCells count="44">
    <mergeCell ref="B18:B23"/>
    <mergeCell ref="C18:L18"/>
    <mergeCell ref="C19:L19"/>
    <mergeCell ref="C20:L20"/>
    <mergeCell ref="C21:L21"/>
    <mergeCell ref="C22:L22"/>
    <mergeCell ref="C23:L23"/>
    <mergeCell ref="C24:L24"/>
    <mergeCell ref="C25:L25"/>
    <mergeCell ref="C26:L26"/>
    <mergeCell ref="B27:B28"/>
    <mergeCell ref="C27:L28"/>
    <mergeCell ref="B29:L29"/>
    <mergeCell ref="B30:B31"/>
    <mergeCell ref="C30:L31"/>
    <mergeCell ref="C32:L32"/>
    <mergeCell ref="C33:L33"/>
    <mergeCell ref="C34:L34"/>
    <mergeCell ref="B35:B36"/>
    <mergeCell ref="C35:H36"/>
    <mergeCell ref="I35:L35"/>
    <mergeCell ref="I36:L36"/>
    <mergeCell ref="B1:L1"/>
    <mergeCell ref="M1:M37"/>
    <mergeCell ref="A2:A37"/>
    <mergeCell ref="C2:L2"/>
    <mergeCell ref="C3:L3"/>
    <mergeCell ref="C4:L4"/>
    <mergeCell ref="C7:L7"/>
    <mergeCell ref="B37:L37"/>
    <mergeCell ref="C5:L5"/>
    <mergeCell ref="C6:L6"/>
    <mergeCell ref="B2:B4"/>
    <mergeCell ref="B8:B16"/>
    <mergeCell ref="C8:L8"/>
    <mergeCell ref="C9:L9"/>
    <mergeCell ref="C10:L10"/>
    <mergeCell ref="C11:L11"/>
    <mergeCell ref="C12:L12"/>
    <mergeCell ref="C13:L13"/>
    <mergeCell ref="C14:L14"/>
    <mergeCell ref="C15:L15"/>
    <mergeCell ref="C16:L16"/>
    <mergeCell ref="C17:L17"/>
  </mergeCells>
  <conditionalFormatting sqref="M1:M37">
    <cfRule type="notContainsBlanks" dxfId="0" priority="1">
      <formula>LEN(TRIM(M1))&gt;0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5" max="5" width="19.13"/>
  </cols>
  <sheetData>
    <row r="2">
      <c r="A2" s="3">
        <f>AVERAGE(Games!J:J)</f>
        <v>138.5909091</v>
      </c>
      <c r="B2" s="5" t="s">
        <v>1</v>
      </c>
      <c r="D2" s="7">
        <f>AVERAGE(Games!K:K)</f>
        <v>556.7407407</v>
      </c>
      <c r="E2" s="5" t="s">
        <v>4</v>
      </c>
    </row>
    <row r="3">
      <c r="A3" s="3">
        <f>MAX(Games!J:J)</f>
        <v>3840</v>
      </c>
      <c r="B3" s="5" t="s">
        <v>5</v>
      </c>
      <c r="D3" s="7">
        <f>MAX(Games!K:K)</f>
        <v>9057</v>
      </c>
      <c r="E3" s="5" t="s">
        <v>8</v>
      </c>
    </row>
    <row r="5">
      <c r="A5" s="3">
        <f>COUNTIFS(Games!J:J,"&gt;=1",Games!J:J,"&lt;=50")</f>
        <v>28</v>
      </c>
      <c r="B5" s="5" t="s">
        <v>16</v>
      </c>
      <c r="D5" s="3">
        <f>COUNTIFS(Games!K:K,"&gt;=1",Games!K:K,"&lt;=50")</f>
        <v>9</v>
      </c>
      <c r="E5" s="5" t="s">
        <v>19</v>
      </c>
    </row>
    <row r="6">
      <c r="A6" s="3">
        <f>COUNTIFS(Games!J:J,"&gt;=51",Games!J:J,"&lt;=100")</f>
        <v>11</v>
      </c>
      <c r="B6" s="5" t="s">
        <v>22</v>
      </c>
      <c r="D6" s="3">
        <f>COUNTIFS(Games!K:K,"&gt;=51",Games!K:K,"&lt;=100")</f>
        <v>4</v>
      </c>
      <c r="E6" s="5" t="s">
        <v>24</v>
      </c>
    </row>
    <row r="7">
      <c r="A7" s="3">
        <f>COUNTIFS(Games!J:J,"&gt;=101",Games!J:J,"&lt;=150")</f>
        <v>7</v>
      </c>
      <c r="B7" s="5" t="s">
        <v>25</v>
      </c>
      <c r="D7" s="3">
        <f>COUNTIFS(Games!K:K,"&gt;=1001",Games!K:K,"&lt;=2000")</f>
        <v>4</v>
      </c>
      <c r="E7" s="5" t="s">
        <v>27</v>
      </c>
    </row>
    <row r="8">
      <c r="A8" s="3">
        <f>COUNTIFS(Games!J:J,"&gt;=151",Games!J:J,"&lt;=200")</f>
        <v>5</v>
      </c>
      <c r="B8" s="5" t="s">
        <v>29</v>
      </c>
      <c r="D8" s="3">
        <f>COUNTIFS(Games!K:K,"&gt;=201",Games!K:K,"&lt;=300")</f>
        <v>2</v>
      </c>
      <c r="E8" s="5" t="s">
        <v>34</v>
      </c>
    </row>
    <row r="9">
      <c r="A9" s="3">
        <f>COUNTIFS(Games!J:J,"&gt;=201",Games!J:J,"&lt;=250")</f>
        <v>6</v>
      </c>
      <c r="B9" s="5" t="s">
        <v>37</v>
      </c>
      <c r="D9" s="3">
        <f>COUNTIFS(Games!K:K,"&gt;=301",Games!K:K,"&lt;=400")</f>
        <v>1</v>
      </c>
      <c r="E9" s="5" t="s">
        <v>40</v>
      </c>
    </row>
    <row r="10">
      <c r="A10" s="3">
        <f>COUNTIFS(Games!J:J,"&gt;=251",Games!J:J,"&lt;=300")</f>
        <v>1</v>
      </c>
      <c r="B10" s="5" t="s">
        <v>41</v>
      </c>
      <c r="D10" s="3">
        <f>COUNTIFS(Games!K:K,"&gt;=401",Games!K:K,"&lt;=500")</f>
        <v>2</v>
      </c>
      <c r="E10" s="5" t="s">
        <v>43</v>
      </c>
    </row>
    <row r="11">
      <c r="A11" s="3">
        <f>COUNTIFS(Games!J:J,"&gt;=301",Games!J:J,"&lt;=400")</f>
        <v>0</v>
      </c>
      <c r="B11" s="5" t="s">
        <v>48</v>
      </c>
      <c r="D11" s="3">
        <f>COUNTIFS(Games!K:K,"&gt;=501",Games!K:K,"&lt;=750")</f>
        <v>16</v>
      </c>
      <c r="E11" s="5" t="s">
        <v>50</v>
      </c>
    </row>
    <row r="12">
      <c r="A12" s="3">
        <f>COUNTIFS(Games!J:J,"&gt;=401",Games!J:J,"&lt;=500")</f>
        <v>1</v>
      </c>
      <c r="B12" s="5" t="s">
        <v>54</v>
      </c>
      <c r="D12" s="3">
        <f>COUNTIFS(Games!K:K,"&gt;=751",Games!K:K,"&lt;=1000")</f>
        <v>1</v>
      </c>
      <c r="E12" s="5" t="s">
        <v>58</v>
      </c>
    </row>
    <row r="13">
      <c r="A13" s="3">
        <f>COUNTIFS(Games!J:J,"&gt;=501",Games!J:J,"&lt;=750")</f>
        <v>0</v>
      </c>
      <c r="B13" s="5" t="s">
        <v>61</v>
      </c>
      <c r="D13" s="3">
        <f>COUNTIFS(Games!K:K,"&gt;=1001",Games!K:K,"&lt;=2000")</f>
        <v>4</v>
      </c>
      <c r="E13" s="5" t="s">
        <v>63</v>
      </c>
    </row>
    <row r="14">
      <c r="A14" s="3">
        <f>COUNTIFS(Games!J:J,"&gt;=751",Games!J:J,"&lt;=1000")</f>
        <v>0</v>
      </c>
      <c r="B14" s="5" t="s">
        <v>67</v>
      </c>
      <c r="D14" s="3">
        <f>COUNTIFS(Games!K:K,"&gt;=2001",Games!K:K,"&lt;=3000")</f>
        <v>1</v>
      </c>
      <c r="E14" s="5" t="s">
        <v>68</v>
      </c>
    </row>
    <row r="15">
      <c r="A15" s="3">
        <f>COUNTIFS(Games!J:J,"&gt;=1001",Games!J:J,"&lt;=1500")</f>
        <v>0</v>
      </c>
      <c r="B15" s="5" t="s">
        <v>72</v>
      </c>
      <c r="D15" s="3">
        <f>COUNTIFS(Games!K:K,"&gt;=3001",Games!K:K,"&lt;=5000")</f>
        <v>0</v>
      </c>
      <c r="E15" s="5" t="s">
        <v>74</v>
      </c>
    </row>
    <row r="16">
      <c r="A16" s="3">
        <f>COUNTIFS(Games!J:J,"&gt;=1501",Games!J:J,"&lt;=2000")</f>
        <v>0</v>
      </c>
      <c r="B16" s="5" t="s">
        <v>79</v>
      </c>
      <c r="D16" s="3">
        <f>COUNTIFS(Games!K:K,"&gt;=5001",Games!K:K,"&lt;=7000")</f>
        <v>0</v>
      </c>
      <c r="E16" s="5" t="s">
        <v>80</v>
      </c>
    </row>
    <row r="17">
      <c r="A17" s="3">
        <f>COUNTIF(Games!J:J,"&gt;=2001")</f>
        <v>1</v>
      </c>
      <c r="B17" s="5" t="s">
        <v>82</v>
      </c>
      <c r="D17" s="3">
        <f>COUNTIF(Games!K:K,"&gt;=7001")</f>
        <v>1</v>
      </c>
      <c r="E17" s="5" t="s">
        <v>85</v>
      </c>
    </row>
  </sheetData>
  <drawing r:id="rId1"/>
</worksheet>
</file>